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tion" sheetId="1" r:id="rId4"/>
    <sheet state="visible" name="Friday" sheetId="2" r:id="rId5"/>
    <sheet state="visible" name="Saturday (AM)" sheetId="3" r:id="rId6"/>
  </sheets>
  <definedNames/>
  <calcPr/>
</workbook>
</file>

<file path=xl/sharedStrings.xml><?xml version="1.0" encoding="utf-8"?>
<sst xmlns="http://schemas.openxmlformats.org/spreadsheetml/2006/main" count="277" uniqueCount="80">
  <si>
    <t>Event</t>
  </si>
  <si>
    <t>Spring Classic</t>
  </si>
  <si>
    <t>Year</t>
  </si>
  <si>
    <t>Location</t>
  </si>
  <si>
    <t>Gull Lake</t>
  </si>
  <si>
    <t>Participants</t>
  </si>
  <si>
    <t>Spartan Dawgs</t>
  </si>
  <si>
    <t>Invited Guests</t>
  </si>
  <si>
    <t>James</t>
  </si>
  <si>
    <t>Dillon</t>
  </si>
  <si>
    <t>Dan</t>
  </si>
  <si>
    <t>Corey</t>
  </si>
  <si>
    <t>Kyle</t>
  </si>
  <si>
    <t>Andy</t>
  </si>
  <si>
    <t>Brett</t>
  </si>
  <si>
    <t>Joe Pa</t>
  </si>
  <si>
    <t>Jon</t>
  </si>
  <si>
    <t>Juan</t>
  </si>
  <si>
    <t>Tovey</t>
  </si>
  <si>
    <t>Connor</t>
  </si>
  <si>
    <t>Cole</t>
  </si>
  <si>
    <t>Bud</t>
  </si>
  <si>
    <t>Matt</t>
  </si>
  <si>
    <t>Vince</t>
  </si>
  <si>
    <t>Lodging Information</t>
  </si>
  <si>
    <t>Villa 1</t>
  </si>
  <si>
    <t>Villa 2</t>
  </si>
  <si>
    <t>Villa 3</t>
  </si>
  <si>
    <t>Villa 4</t>
  </si>
  <si>
    <t>JoePa</t>
  </si>
  <si>
    <t>Multiplier</t>
  </si>
  <si>
    <t>Index</t>
  </si>
  <si>
    <t>Standard</t>
  </si>
  <si>
    <t>Scramble</t>
  </si>
  <si>
    <t>Alt</t>
  </si>
  <si>
    <t>Chapman</t>
  </si>
  <si>
    <t>Friday, Stoatin Brae, 18, BB, BB</t>
  </si>
  <si>
    <t>Stoatin Brae</t>
  </si>
  <si>
    <t>1st Tee</t>
  </si>
  <si>
    <t>2nd Tee</t>
  </si>
  <si>
    <t>3rd Tee</t>
  </si>
  <si>
    <t>4th Tee</t>
  </si>
  <si>
    <t>SD</t>
  </si>
  <si>
    <t>IG</t>
  </si>
  <si>
    <t>Golfer</t>
  </si>
  <si>
    <t>Course Handicap</t>
  </si>
  <si>
    <t>VS</t>
  </si>
  <si>
    <t>Team Stroke Total</t>
  </si>
  <si>
    <t>Format</t>
  </si>
  <si>
    <t>Best Ball</t>
  </si>
  <si>
    <t>Hole</t>
  </si>
  <si>
    <t>Par</t>
  </si>
  <si>
    <t>Handicap</t>
  </si>
  <si>
    <t>Front Total</t>
  </si>
  <si>
    <t>Back Total</t>
  </si>
  <si>
    <t>Grand Total</t>
  </si>
  <si>
    <t>Score</t>
  </si>
  <si>
    <t>Strokes</t>
  </si>
  <si>
    <t>Front Low Net</t>
  </si>
  <si>
    <t>Back Low Net</t>
  </si>
  <si>
    <t>Front Points</t>
  </si>
  <si>
    <t>Back Points</t>
  </si>
  <si>
    <t>Total Points</t>
  </si>
  <si>
    <t>Team Name</t>
  </si>
  <si>
    <t>Net</t>
  </si>
  <si>
    <t>1st Match</t>
  </si>
  <si>
    <t>SD Low Net</t>
  </si>
  <si>
    <t>Front</t>
  </si>
  <si>
    <t>IG Low Net</t>
  </si>
  <si>
    <t>Back</t>
  </si>
  <si>
    <t>Match</t>
  </si>
  <si>
    <t>Ft Points</t>
  </si>
  <si>
    <t>Bk Pts</t>
  </si>
  <si>
    <t>2nd Match</t>
  </si>
  <si>
    <t>Pts</t>
  </si>
  <si>
    <t>3rd Match</t>
  </si>
  <si>
    <t>3rd M</t>
  </si>
  <si>
    <t>4th Match</t>
  </si>
  <si>
    <t>Saturday (AM), Course, Scramble, AltShot</t>
  </si>
  <si>
    <t>AltShot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</si>
</sst>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25">
    <font>
      <sz val="10.0"/>
      <color rgb="FF000000"/>
      <name val="Arial"/>
      <scheme val="minor"/>
    </font>
    <font>
      <b/>
      <u/>
      <color theme="1"/>
      <name val="Arial"/>
      <scheme val="minor"/>
    </font>
    <font>
      <color theme="1"/>
      <name val="Arial"/>
      <scheme val="minor"/>
    </font>
    <font>
      <b/>
      <u/>
      <sz val="11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u/>
      <sz val="11.0"/>
      <color rgb="FF000000"/>
      <name val="Calibri"/>
    </font>
    <font>
      <u/>
      <sz val="11.0"/>
      <color rgb="FF000000"/>
      <name val="Calibri"/>
    </font>
    <font/>
    <font>
      <b/>
      <u/>
      <sz val="11.0"/>
      <color rgb="FF000000"/>
      <name val="Calibri"/>
    </font>
    <font>
      <b/>
      <color theme="1"/>
      <name val="Arial"/>
      <scheme val="minor"/>
    </font>
    <font>
      <u/>
      <sz val="11.0"/>
      <color rgb="FF0563C1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sz val="11.0"/>
      <color rgb="FF000000"/>
      <name val="Calibri"/>
    </font>
    <font>
      <color theme="1"/>
      <name val="Arial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1" fillId="2" fontId="5" numFmtId="0" xfId="0" applyAlignment="1" applyBorder="1" applyFill="1" applyFont="1">
      <alignment horizontal="center" readingOrder="0" shrinkToFit="0" vertical="bottom" wrapText="0"/>
    </xf>
    <xf borderId="2" fillId="0" fontId="8" numFmtId="0" xfId="0" applyBorder="1" applyFont="1"/>
    <xf borderId="3" fillId="0" fontId="8" numFmtId="0" xfId="0" applyBorder="1" applyFont="1"/>
    <xf borderId="0" fillId="0" fontId="2" numFmtId="164" xfId="0" applyFont="1" applyNumberFormat="1"/>
    <xf borderId="0" fillId="0" fontId="9" numFmtId="0" xfId="0" applyAlignment="1" applyFont="1">
      <alignment horizontal="right" readingOrder="0" shrinkToFit="0" vertical="bottom" wrapText="0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2" numFmtId="0" xfId="0" applyFont="1"/>
    <xf borderId="6" fillId="0" fontId="2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right" readingOrder="0"/>
    </xf>
    <xf borderId="0" fillId="0" fontId="11" numFmtId="0" xfId="0" applyAlignment="1" applyFont="1">
      <alignment shrinkToFit="0" vertical="bottom" wrapText="0"/>
    </xf>
    <xf borderId="7" fillId="0" fontId="2" numFmtId="0" xfId="0" applyBorder="1" applyFont="1"/>
    <xf borderId="8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7" fillId="0" fontId="4" numFmtId="0" xfId="0" applyAlignment="1" applyBorder="1" applyFont="1">
      <alignment horizontal="right" readingOrder="0" shrinkToFit="0" vertical="bottom" wrapText="0"/>
    </xf>
    <xf borderId="8" fillId="2" fontId="12" numFmtId="0" xfId="0" applyAlignment="1" applyBorder="1" applyFont="1">
      <alignment readingOrder="0" shrinkToFit="0" vertical="bottom" wrapText="0"/>
    </xf>
    <xf borderId="1" fillId="0" fontId="13" numFmtId="0" xfId="0" applyAlignment="1" applyBorder="1" applyFont="1">
      <alignment horizontal="center" readingOrder="0" shrinkToFit="0" vertical="bottom" wrapText="0"/>
    </xf>
    <xf borderId="8" fillId="0" fontId="14" numFmtId="0" xfId="0" applyAlignment="1" applyBorder="1" applyFont="1">
      <alignment readingOrder="0"/>
    </xf>
    <xf borderId="12" fillId="0" fontId="15" numFmtId="0" xfId="0" applyAlignment="1" applyBorder="1" applyFont="1">
      <alignment readingOrder="0"/>
    </xf>
    <xf borderId="8" fillId="2" fontId="16" numFmtId="0" xfId="0" applyAlignment="1" applyBorder="1" applyFont="1">
      <alignment readingOrder="0"/>
    </xf>
    <xf borderId="12" fillId="0" fontId="2" numFmtId="0" xfId="0" applyAlignment="1" applyBorder="1" applyFont="1">
      <alignment readingOrder="0"/>
    </xf>
    <xf borderId="1" fillId="0" fontId="10" numFmtId="0" xfId="0" applyAlignment="1" applyBorder="1" applyFont="1">
      <alignment readingOrder="0"/>
    </xf>
    <xf borderId="2" fillId="0" fontId="10" numFmtId="0" xfId="0" applyAlignment="1" applyBorder="1" applyFont="1">
      <alignment horizontal="center" readingOrder="0"/>
    </xf>
    <xf borderId="3" fillId="0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/>
    </xf>
    <xf borderId="12" fillId="0" fontId="17" numFmtId="0" xfId="0" applyAlignment="1" applyBorder="1" applyFont="1">
      <alignment readingOrder="0" shrinkToFit="0" vertical="bottom" wrapText="0"/>
    </xf>
    <xf borderId="4" fillId="2" fontId="5" numFmtId="0" xfId="0" applyAlignment="1" applyBorder="1" applyFont="1">
      <alignment horizontal="center" readingOrder="0" shrinkToFit="0" vertical="center" wrapText="0"/>
    </xf>
    <xf borderId="5" fillId="0" fontId="4" numFmtId="0" xfId="0" applyAlignment="1" applyBorder="1" applyFont="1">
      <alignment readingOrder="0" shrinkToFit="0" vertical="bottom" wrapText="0"/>
    </xf>
    <xf borderId="5" fillId="0" fontId="2" numFmtId="3" xfId="0" applyAlignment="1" applyBorder="1" applyFont="1" applyNumberFormat="1">
      <alignment readingOrder="0"/>
    </xf>
    <xf borderId="6" fillId="0" fontId="2" numFmtId="3" xfId="0" applyAlignment="1" applyBorder="1" applyFont="1" applyNumberFormat="1">
      <alignment readingOrder="0"/>
    </xf>
    <xf borderId="4" fillId="0" fontId="2" numFmtId="3" xfId="0" applyAlignment="1" applyBorder="1" applyFont="1" applyNumberFormat="1">
      <alignment readingOrder="0"/>
    </xf>
    <xf borderId="13" fillId="0" fontId="2" numFmtId="3" xfId="0" applyBorder="1" applyFont="1" applyNumberFormat="1"/>
    <xf borderId="13" fillId="0" fontId="4" numFmtId="3" xfId="0" applyAlignment="1" applyBorder="1" applyFont="1" applyNumberFormat="1">
      <alignment shrinkToFit="0" vertical="bottom" wrapText="0"/>
    </xf>
    <xf borderId="7" fillId="0" fontId="8" numFmtId="0" xfId="0" applyBorder="1" applyFont="1"/>
    <xf borderId="0" fillId="0" fontId="2" numFmtId="3" xfId="0" applyAlignment="1" applyFont="1" applyNumberFormat="1">
      <alignment readingOrder="0"/>
    </xf>
    <xf borderId="8" fillId="0" fontId="2" numFmtId="3" xfId="0" applyAlignment="1" applyBorder="1" applyFont="1" applyNumberFormat="1">
      <alignment readingOrder="0"/>
    </xf>
    <xf borderId="7" fillId="0" fontId="2" numFmtId="3" xfId="0" applyAlignment="1" applyBorder="1" applyFont="1" applyNumberFormat="1">
      <alignment readingOrder="0"/>
    </xf>
    <xf borderId="14" fillId="0" fontId="2" numFmtId="3" xfId="0" applyBorder="1" applyFont="1" applyNumberFormat="1"/>
    <xf borderId="14" fillId="0" fontId="4" numFmtId="3" xfId="0" applyAlignment="1" applyBorder="1" applyFont="1" applyNumberFormat="1">
      <alignment shrinkToFit="0" vertical="bottom" wrapText="0"/>
    </xf>
    <xf borderId="7" fillId="0" fontId="4" numFmtId="0" xfId="0" applyAlignment="1" applyBorder="1" applyFont="1">
      <alignment readingOrder="0" shrinkToFit="0" vertical="bottom" wrapText="0"/>
    </xf>
    <xf borderId="0" fillId="0" fontId="2" numFmtId="3" xfId="0" applyFont="1" applyNumberFormat="1"/>
    <xf borderId="8" fillId="0" fontId="2" numFmtId="3" xfId="0" applyBorder="1" applyFont="1" applyNumberFormat="1"/>
    <xf borderId="7" fillId="0" fontId="2" numFmtId="3" xfId="0" applyBorder="1" applyFont="1" applyNumberFormat="1"/>
    <xf borderId="14" fillId="0" fontId="2" numFmtId="0" xfId="0" applyBorder="1" applyFont="1"/>
    <xf borderId="14" fillId="0" fontId="4" numFmtId="0" xfId="0" applyAlignment="1" applyBorder="1" applyFont="1">
      <alignment shrinkToFit="0" vertical="bottom" wrapText="0"/>
    </xf>
    <xf borderId="0" fillId="0" fontId="5" numFmtId="0" xfId="0" applyAlignment="1" applyFont="1">
      <alignment horizontal="center" readingOrder="0" shrinkToFit="0" vertical="center" wrapText="0"/>
    </xf>
    <xf borderId="7" fillId="2" fontId="5" numFmtId="0" xfId="0" applyAlignment="1" applyBorder="1" applyFont="1">
      <alignment horizontal="center" readingOrder="0" shrinkToFit="0" vertical="center" wrapText="0"/>
    </xf>
    <xf borderId="0" fillId="0" fontId="18" numFmtId="3" xfId="0" applyAlignment="1" applyFont="1" applyNumberFormat="1">
      <alignment horizontal="right" vertical="bottom"/>
    </xf>
    <xf borderId="8" fillId="0" fontId="18" numFmtId="3" xfId="0" applyAlignment="1" applyBorder="1" applyFont="1" applyNumberFormat="1">
      <alignment horizontal="right" vertical="bottom"/>
    </xf>
    <xf borderId="7" fillId="0" fontId="18" numFmtId="3" xfId="0" applyAlignment="1" applyBorder="1" applyFont="1" applyNumberFormat="1">
      <alignment horizontal="right" vertical="bottom"/>
    </xf>
    <xf borderId="0" fillId="0" fontId="18" numFmtId="3" xfId="0" applyAlignment="1" applyFont="1" applyNumberFormat="1">
      <alignment horizontal="right" readingOrder="0" vertical="bottom"/>
    </xf>
    <xf borderId="8" fillId="0" fontId="18" numFmtId="3" xfId="0" applyAlignment="1" applyBorder="1" applyFont="1" applyNumberFormat="1">
      <alignment horizontal="right" readingOrder="0" vertical="bottom"/>
    </xf>
    <xf borderId="7" fillId="0" fontId="18" numFmtId="3" xfId="0" applyAlignment="1" applyBorder="1" applyFont="1" applyNumberFormat="1">
      <alignment horizontal="right" readingOrder="0" vertical="bottom"/>
    </xf>
    <xf borderId="9" fillId="0" fontId="8" numFmtId="0" xfId="0" applyBorder="1" applyFont="1"/>
    <xf borderId="10" fillId="0" fontId="4" numFmtId="0" xfId="0" applyAlignment="1" applyBorder="1" applyFont="1">
      <alignment readingOrder="0" shrinkToFit="0" vertical="bottom" wrapText="0"/>
    </xf>
    <xf borderId="10" fillId="0" fontId="18" numFmtId="3" xfId="0" applyAlignment="1" applyBorder="1" applyFont="1" applyNumberFormat="1">
      <alignment horizontal="right" readingOrder="0" vertical="bottom"/>
    </xf>
    <xf borderId="11" fillId="0" fontId="18" numFmtId="3" xfId="0" applyAlignment="1" applyBorder="1" applyFont="1" applyNumberFormat="1">
      <alignment horizontal="right" readingOrder="0" vertical="bottom"/>
    </xf>
    <xf borderId="9" fillId="0" fontId="18" numFmtId="3" xfId="0" applyAlignment="1" applyBorder="1" applyFont="1" applyNumberFormat="1">
      <alignment horizontal="right" readingOrder="0" vertical="bottom"/>
    </xf>
    <xf borderId="15" fillId="0" fontId="2" numFmtId="3" xfId="0" applyBorder="1" applyFont="1" applyNumberFormat="1"/>
    <xf borderId="15" fillId="0" fontId="4" numFmtId="3" xfId="0" applyAlignment="1" applyBorder="1" applyFont="1" applyNumberFormat="1">
      <alignment shrinkToFit="0" vertical="bottom" wrapText="0"/>
    </xf>
    <xf borderId="4" fillId="0" fontId="5" numFmtId="0" xfId="0" applyAlignment="1" applyBorder="1" applyFont="1">
      <alignment horizontal="center" readingOrder="0" shrinkToFit="0" vertical="center" wrapText="0"/>
    </xf>
    <xf borderId="6" fillId="0" fontId="2" numFmtId="0" xfId="0" applyBorder="1" applyFont="1"/>
    <xf borderId="4" fillId="0" fontId="2" numFmtId="0" xfId="0" applyBorder="1" applyFont="1"/>
    <xf borderId="13" fillId="0" fontId="2" numFmtId="0" xfId="0" applyBorder="1" applyFont="1"/>
    <xf borderId="13" fillId="0" fontId="4" numFmtId="0" xfId="0" applyAlignment="1" applyBorder="1" applyFont="1">
      <alignment shrinkToFit="0" vertical="bottom" wrapText="0"/>
    </xf>
    <xf borderId="0" fillId="0" fontId="2" numFmtId="0" xfId="0" applyFont="1"/>
    <xf borderId="7" fillId="0" fontId="5" numFmtId="0" xfId="0" applyAlignment="1" applyBorder="1" applyFont="1">
      <alignment horizontal="center" readingOrder="0" shrinkToFit="0" vertical="center" wrapText="0"/>
    </xf>
    <xf borderId="10" fillId="0" fontId="2" numFmtId="0" xfId="0" applyBorder="1" applyFont="1"/>
    <xf borderId="11" fillId="0" fontId="2" numFmtId="0" xfId="0" applyBorder="1" applyFont="1"/>
    <xf borderId="9" fillId="0" fontId="2" numFmtId="0" xfId="0" applyBorder="1" applyFont="1"/>
    <xf borderId="15" fillId="0" fontId="2" numFmtId="0" xfId="0" applyBorder="1" applyFont="1"/>
    <xf borderId="15" fillId="0" fontId="4" numFmtId="0" xfId="0" applyAlignment="1" applyBorder="1" applyFont="1">
      <alignment shrinkToFit="0" vertical="bottom" wrapText="0"/>
    </xf>
    <xf borderId="4" fillId="0" fontId="19" numFmtId="0" xfId="0" applyAlignment="1" applyBorder="1" applyFont="1">
      <alignment readingOrder="0"/>
    </xf>
    <xf borderId="5" fillId="0" fontId="20" numFmtId="0" xfId="0" applyAlignment="1" applyBorder="1" applyFont="1">
      <alignment readingOrder="0"/>
    </xf>
    <xf borderId="6" fillId="0" fontId="21" numFmtId="0" xfId="0" applyAlignment="1" applyBorder="1" applyFont="1">
      <alignment readingOrder="0"/>
    </xf>
    <xf borderId="5" fillId="0" fontId="2" numFmtId="0" xfId="0" applyBorder="1" applyFont="1"/>
    <xf borderId="5" fillId="0" fontId="2" numFmtId="3" xfId="0" applyBorder="1" applyFont="1" applyNumberFormat="1"/>
    <xf borderId="6" fillId="0" fontId="2" numFmtId="3" xfId="0" applyBorder="1" applyFont="1" applyNumberFormat="1"/>
    <xf borderId="4" fillId="0" fontId="2" numFmtId="3" xfId="0" applyBorder="1" applyFont="1" applyNumberFormat="1"/>
    <xf borderId="8" fillId="0" fontId="2" numFmtId="0" xfId="0" applyAlignment="1" applyBorder="1" applyFont="1">
      <alignment readingOrder="0"/>
    </xf>
    <xf borderId="0" fillId="0" fontId="18" numFmtId="0" xfId="0" applyAlignment="1" applyFont="1">
      <alignment horizontal="right" vertical="bottom"/>
    </xf>
    <xf borderId="7" fillId="0" fontId="18" numFmtId="0" xfId="0" applyAlignment="1" applyBorder="1" applyFont="1">
      <alignment vertical="bottom"/>
    </xf>
    <xf borderId="0" fillId="0" fontId="18" numFmtId="0" xfId="0" applyAlignment="1" applyFont="1">
      <alignment vertical="bottom"/>
    </xf>
    <xf borderId="9" fillId="0" fontId="18" numFmtId="3" xfId="0" applyAlignment="1" applyBorder="1" applyFont="1" applyNumberFormat="1">
      <alignment horizontal="right" vertical="bottom"/>
    </xf>
    <xf borderId="10" fillId="0" fontId="18" numFmtId="3" xfId="0" applyAlignment="1" applyBorder="1" applyFont="1" applyNumberFormat="1">
      <alignment horizontal="right" vertical="bottom"/>
    </xf>
    <xf borderId="10" fillId="0" fontId="18" numFmtId="0" xfId="0" applyAlignment="1" applyBorder="1" applyFont="1">
      <alignment horizontal="right" vertical="bottom"/>
    </xf>
    <xf borderId="11" fillId="0" fontId="2" numFmtId="0" xfId="0" applyAlignment="1" applyBorder="1" applyFont="1">
      <alignment readingOrder="0"/>
    </xf>
    <xf borderId="10" fillId="0" fontId="2" numFmtId="3" xfId="0" applyBorder="1" applyFont="1" applyNumberFormat="1"/>
    <xf borderId="11" fillId="0" fontId="2" numFmtId="3" xfId="0" applyBorder="1" applyFont="1" applyNumberFormat="1"/>
    <xf borderId="9" fillId="0" fontId="2" numFmtId="3" xfId="0" applyBorder="1" applyFont="1" applyNumberFormat="1"/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7" fillId="0" fontId="22" numFmtId="0" xfId="0" applyAlignment="1" applyBorder="1" applyFont="1">
      <alignment readingOrder="0"/>
    </xf>
    <xf borderId="0" fillId="0" fontId="23" numFmtId="0" xfId="0" applyAlignment="1" applyFont="1">
      <alignment readingOrder="0"/>
    </xf>
    <xf borderId="9" fillId="0" fontId="24" numFmtId="0" xfId="0" applyAlignment="1" applyBorder="1" applyFont="1">
      <alignment readingOrder="0"/>
    </xf>
    <xf borderId="11" fillId="0" fontId="18" numFmtId="3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2" t="s">
        <v>1</v>
      </c>
      <c r="C1" s="3"/>
    </row>
    <row r="2">
      <c r="A2" s="1" t="s">
        <v>2</v>
      </c>
      <c r="B2" s="2">
        <v>2023.0</v>
      </c>
      <c r="C2" s="3"/>
    </row>
    <row r="3">
      <c r="A3" s="1" t="s">
        <v>3</v>
      </c>
      <c r="B3" s="2" t="s">
        <v>4</v>
      </c>
      <c r="C3" s="3"/>
    </row>
    <row r="4">
      <c r="A4" s="1" t="s">
        <v>5</v>
      </c>
      <c r="B4" s="4" t="s">
        <v>6</v>
      </c>
      <c r="C4" s="4" t="s">
        <v>7</v>
      </c>
    </row>
    <row r="5">
      <c r="B5" s="5" t="s">
        <v>8</v>
      </c>
      <c r="C5" s="5" t="s">
        <v>9</v>
      </c>
    </row>
    <row r="6">
      <c r="B6" s="5" t="s">
        <v>10</v>
      </c>
      <c r="C6" s="5" t="s">
        <v>11</v>
      </c>
    </row>
    <row r="7">
      <c r="B7" s="5" t="s">
        <v>12</v>
      </c>
      <c r="C7" s="5" t="s">
        <v>13</v>
      </c>
    </row>
    <row r="8">
      <c r="B8" s="5" t="s">
        <v>14</v>
      </c>
      <c r="C8" s="5" t="s">
        <v>15</v>
      </c>
    </row>
    <row r="9">
      <c r="B9" s="5" t="s">
        <v>16</v>
      </c>
      <c r="C9" s="5" t="s">
        <v>17</v>
      </c>
    </row>
    <row r="10">
      <c r="B10" s="5" t="s">
        <v>18</v>
      </c>
      <c r="C10" s="5" t="s">
        <v>19</v>
      </c>
    </row>
    <row r="11">
      <c r="B11" s="5" t="s">
        <v>20</v>
      </c>
      <c r="C11" s="5" t="s">
        <v>21</v>
      </c>
    </row>
    <row r="12">
      <c r="B12" s="5" t="s">
        <v>22</v>
      </c>
      <c r="C12" s="5" t="s">
        <v>23</v>
      </c>
    </row>
    <row r="14">
      <c r="A14" s="1" t="s">
        <v>24</v>
      </c>
      <c r="B14" s="6" t="s">
        <v>25</v>
      </c>
      <c r="C14" s="6" t="s">
        <v>26</v>
      </c>
      <c r="D14" s="6" t="s">
        <v>27</v>
      </c>
      <c r="E14" s="6" t="s">
        <v>28</v>
      </c>
    </row>
    <row r="15">
      <c r="B15" s="5" t="s">
        <v>10</v>
      </c>
      <c r="C15" s="5" t="s">
        <v>16</v>
      </c>
      <c r="D15" s="5" t="s">
        <v>19</v>
      </c>
      <c r="E15" s="5" t="s">
        <v>12</v>
      </c>
    </row>
    <row r="16">
      <c r="B16" s="5" t="s">
        <v>20</v>
      </c>
      <c r="C16" s="5" t="s">
        <v>17</v>
      </c>
      <c r="D16" s="5" t="s">
        <v>23</v>
      </c>
      <c r="E16" s="5" t="s">
        <v>18</v>
      </c>
    </row>
    <row r="17">
      <c r="B17" s="5" t="s">
        <v>29</v>
      </c>
      <c r="C17" s="5" t="s">
        <v>22</v>
      </c>
      <c r="D17" s="5" t="s">
        <v>8</v>
      </c>
      <c r="E17" s="5" t="s">
        <v>14</v>
      </c>
    </row>
    <row r="18">
      <c r="B18" s="5" t="s">
        <v>11</v>
      </c>
      <c r="C18" s="5" t="s">
        <v>21</v>
      </c>
      <c r="D18" s="5" t="s">
        <v>9</v>
      </c>
      <c r="E18" s="5" t="s">
        <v>13</v>
      </c>
    </row>
    <row r="20">
      <c r="C20" s="7" t="s">
        <v>30</v>
      </c>
      <c r="D20" s="7">
        <v>1.0</v>
      </c>
      <c r="E20" s="7">
        <v>0.4</v>
      </c>
      <c r="F20" s="7">
        <v>0.7</v>
      </c>
      <c r="G20" s="7">
        <v>0.6</v>
      </c>
    </row>
    <row r="21">
      <c r="A21" s="1" t="s">
        <v>31</v>
      </c>
      <c r="C21" s="7" t="s">
        <v>31</v>
      </c>
      <c r="D21" s="7" t="s">
        <v>32</v>
      </c>
      <c r="E21" s="7" t="s">
        <v>33</v>
      </c>
      <c r="F21" s="7" t="s">
        <v>34</v>
      </c>
      <c r="G21" s="7" t="s">
        <v>35</v>
      </c>
    </row>
    <row r="22">
      <c r="B22" s="5" t="s">
        <v>8</v>
      </c>
      <c r="C22" s="8">
        <v>16.0</v>
      </c>
      <c r="D22" s="5">
        <f t="shared" ref="D22:G22" si="1">$C22*D$20</f>
        <v>16</v>
      </c>
      <c r="E22" s="5">
        <f t="shared" si="1"/>
        <v>6.4</v>
      </c>
      <c r="F22" s="5">
        <f t="shared" si="1"/>
        <v>11.2</v>
      </c>
      <c r="G22" s="5">
        <f t="shared" si="1"/>
        <v>9.6</v>
      </c>
    </row>
    <row r="23">
      <c r="B23" s="5" t="s">
        <v>10</v>
      </c>
      <c r="C23" s="8">
        <v>7.8</v>
      </c>
      <c r="D23" s="5">
        <f t="shared" ref="D23:G23" si="2">$C23*D$20</f>
        <v>7.8</v>
      </c>
      <c r="E23" s="5">
        <f t="shared" si="2"/>
        <v>3.12</v>
      </c>
      <c r="F23" s="5">
        <f t="shared" si="2"/>
        <v>5.46</v>
      </c>
      <c r="G23" s="5">
        <f t="shared" si="2"/>
        <v>4.68</v>
      </c>
    </row>
    <row r="24">
      <c r="B24" s="5" t="s">
        <v>12</v>
      </c>
      <c r="C24" s="8">
        <v>10.4</v>
      </c>
      <c r="D24" s="5">
        <f t="shared" ref="D24:G24" si="3">$C24*D$20</f>
        <v>10.4</v>
      </c>
      <c r="E24" s="5">
        <f t="shared" si="3"/>
        <v>4.16</v>
      </c>
      <c r="F24" s="5">
        <f t="shared" si="3"/>
        <v>7.28</v>
      </c>
      <c r="G24" s="5">
        <f t="shared" si="3"/>
        <v>6.24</v>
      </c>
    </row>
    <row r="25">
      <c r="B25" s="5" t="s">
        <v>14</v>
      </c>
      <c r="C25" s="8">
        <v>12.9</v>
      </c>
      <c r="D25" s="5">
        <f t="shared" ref="D25:G25" si="4">$C25*D$20</f>
        <v>12.9</v>
      </c>
      <c r="E25" s="5">
        <f t="shared" si="4"/>
        <v>5.16</v>
      </c>
      <c r="F25" s="5">
        <f t="shared" si="4"/>
        <v>9.03</v>
      </c>
      <c r="G25" s="5">
        <f t="shared" si="4"/>
        <v>7.74</v>
      </c>
      <c r="H25" s="4"/>
      <c r="I25" s="9"/>
    </row>
    <row r="26">
      <c r="B26" s="5" t="s">
        <v>16</v>
      </c>
      <c r="C26" s="8">
        <v>21.9</v>
      </c>
      <c r="D26" s="5">
        <f t="shared" ref="D26:G26" si="5">$C26*D$20</f>
        <v>21.9</v>
      </c>
      <c r="E26" s="5">
        <f t="shared" si="5"/>
        <v>8.76</v>
      </c>
      <c r="F26" s="5">
        <f t="shared" si="5"/>
        <v>15.33</v>
      </c>
      <c r="G26" s="5">
        <f t="shared" si="5"/>
        <v>13.14</v>
      </c>
      <c r="H26" s="4"/>
      <c r="I26" s="10"/>
    </row>
    <row r="27">
      <c r="B27" s="5" t="s">
        <v>18</v>
      </c>
      <c r="C27" s="8">
        <v>14.5</v>
      </c>
      <c r="D27" s="5">
        <f t="shared" ref="D27:G27" si="6">$C27*D$20</f>
        <v>14.5</v>
      </c>
      <c r="E27" s="5">
        <f t="shared" si="6"/>
        <v>5.8</v>
      </c>
      <c r="F27" s="5">
        <f t="shared" si="6"/>
        <v>10.15</v>
      </c>
      <c r="G27" s="5">
        <f t="shared" si="6"/>
        <v>8.7</v>
      </c>
    </row>
    <row r="28">
      <c r="B28" s="5" t="s">
        <v>20</v>
      </c>
      <c r="C28" s="8">
        <v>12.0</v>
      </c>
      <c r="D28" s="5">
        <f t="shared" ref="D28:G28" si="7">$C28*D$20</f>
        <v>12</v>
      </c>
      <c r="E28" s="5">
        <f t="shared" si="7"/>
        <v>4.8</v>
      </c>
      <c r="F28" s="5">
        <f t="shared" si="7"/>
        <v>8.4</v>
      </c>
      <c r="G28" s="5">
        <f t="shared" si="7"/>
        <v>7.2</v>
      </c>
    </row>
    <row r="29">
      <c r="B29" s="5" t="s">
        <v>22</v>
      </c>
      <c r="C29" s="8">
        <v>30.0</v>
      </c>
      <c r="D29" s="5">
        <f t="shared" ref="D29:G29" si="8">$C29*D$20</f>
        <v>30</v>
      </c>
      <c r="E29" s="5">
        <f t="shared" si="8"/>
        <v>12</v>
      </c>
      <c r="F29" s="5">
        <f t="shared" si="8"/>
        <v>21</v>
      </c>
      <c r="G29" s="5">
        <f t="shared" si="8"/>
        <v>18</v>
      </c>
    </row>
    <row r="30">
      <c r="B30" s="5" t="s">
        <v>9</v>
      </c>
      <c r="C30" s="8">
        <v>16.6</v>
      </c>
      <c r="D30" s="5">
        <f t="shared" ref="D30:G30" si="9">$C30*D$20</f>
        <v>16.6</v>
      </c>
      <c r="E30" s="5">
        <f t="shared" si="9"/>
        <v>6.64</v>
      </c>
      <c r="F30" s="5">
        <f t="shared" si="9"/>
        <v>11.62</v>
      </c>
      <c r="G30" s="5">
        <f t="shared" si="9"/>
        <v>9.96</v>
      </c>
    </row>
    <row r="31">
      <c r="B31" s="5" t="s">
        <v>11</v>
      </c>
      <c r="C31" s="8">
        <v>12.0</v>
      </c>
      <c r="D31" s="5">
        <f t="shared" ref="D31:G31" si="10">$C31*D$20</f>
        <v>12</v>
      </c>
      <c r="E31" s="5">
        <f t="shared" si="10"/>
        <v>4.8</v>
      </c>
      <c r="F31" s="5">
        <f t="shared" si="10"/>
        <v>8.4</v>
      </c>
      <c r="G31" s="5">
        <f t="shared" si="10"/>
        <v>7.2</v>
      </c>
    </row>
    <row r="32">
      <c r="B32" s="5" t="s">
        <v>13</v>
      </c>
      <c r="C32" s="8">
        <v>9.8</v>
      </c>
      <c r="D32" s="5">
        <f t="shared" ref="D32:G32" si="11">$C32*D$20</f>
        <v>9.8</v>
      </c>
      <c r="E32" s="5">
        <f t="shared" si="11"/>
        <v>3.92</v>
      </c>
      <c r="F32" s="5">
        <f t="shared" si="11"/>
        <v>6.86</v>
      </c>
      <c r="G32" s="5">
        <f t="shared" si="11"/>
        <v>5.88</v>
      </c>
    </row>
    <row r="33">
      <c r="B33" s="5" t="s">
        <v>29</v>
      </c>
      <c r="C33" s="8">
        <v>10.3</v>
      </c>
      <c r="D33" s="5">
        <f t="shared" ref="D33:G33" si="12">$C33*D$20</f>
        <v>10.3</v>
      </c>
      <c r="E33" s="5">
        <f t="shared" si="12"/>
        <v>4.12</v>
      </c>
      <c r="F33" s="5">
        <f t="shared" si="12"/>
        <v>7.21</v>
      </c>
      <c r="G33" s="5">
        <f t="shared" si="12"/>
        <v>6.18</v>
      </c>
    </row>
    <row r="34">
      <c r="B34" s="5" t="s">
        <v>17</v>
      </c>
      <c r="C34" s="8">
        <v>15.2</v>
      </c>
      <c r="D34" s="5">
        <f t="shared" ref="D34:G34" si="13">$C34*D$20</f>
        <v>15.2</v>
      </c>
      <c r="E34" s="5">
        <f t="shared" si="13"/>
        <v>6.08</v>
      </c>
      <c r="F34" s="5">
        <f t="shared" si="13"/>
        <v>10.64</v>
      </c>
      <c r="G34" s="5">
        <f t="shared" si="13"/>
        <v>9.12</v>
      </c>
    </row>
    <row r="35">
      <c r="B35" s="5" t="s">
        <v>19</v>
      </c>
      <c r="C35" s="8">
        <v>16.0</v>
      </c>
      <c r="D35" s="5">
        <f t="shared" ref="D35:G35" si="14">$C35*D$20</f>
        <v>16</v>
      </c>
      <c r="E35" s="5">
        <f t="shared" si="14"/>
        <v>6.4</v>
      </c>
      <c r="F35" s="5">
        <f t="shared" si="14"/>
        <v>11.2</v>
      </c>
      <c r="G35" s="5">
        <f t="shared" si="14"/>
        <v>9.6</v>
      </c>
    </row>
    <row r="36">
      <c r="B36" s="5" t="s">
        <v>21</v>
      </c>
      <c r="C36" s="8">
        <v>18.0</v>
      </c>
      <c r="D36" s="5">
        <f t="shared" ref="D36:G36" si="15">$C36*D$20</f>
        <v>18</v>
      </c>
      <c r="E36" s="5">
        <f t="shared" si="15"/>
        <v>7.2</v>
      </c>
      <c r="F36" s="5">
        <f t="shared" si="15"/>
        <v>12.6</v>
      </c>
      <c r="G36" s="5">
        <f t="shared" si="15"/>
        <v>10.8</v>
      </c>
    </row>
    <row r="37">
      <c r="B37" s="5" t="s">
        <v>23</v>
      </c>
      <c r="C37" s="8">
        <v>17.7</v>
      </c>
      <c r="D37" s="5">
        <f t="shared" ref="D37:G37" si="16">$C37*D$20</f>
        <v>17.7</v>
      </c>
      <c r="E37" s="5">
        <f t="shared" si="16"/>
        <v>7.08</v>
      </c>
      <c r="F37" s="5">
        <f t="shared" si="16"/>
        <v>12.39</v>
      </c>
      <c r="G37" s="5">
        <f t="shared" si="16"/>
        <v>10.62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5.0" topLeftCell="A16" activePane="bottomLeft" state="frozen"/>
      <selection activeCell="B17" sqref="B17" pane="bottomLeft"/>
    </sheetView>
  </sheetViews>
  <sheetFormatPr customHeight="1" defaultColWidth="12.63" defaultRowHeight="15.75"/>
  <cols>
    <col customWidth="1" min="1" max="3" width="24.13"/>
    <col customWidth="1" min="4" max="4" width="14.63"/>
  </cols>
  <sheetData>
    <row r="1">
      <c r="A1" s="6"/>
      <c r="B1" s="6"/>
      <c r="C1" s="6" t="s">
        <v>36</v>
      </c>
      <c r="D1" s="4"/>
      <c r="E1" s="5"/>
      <c r="F1" s="5"/>
      <c r="G1" s="5"/>
      <c r="H1" s="5"/>
      <c r="I1" s="5"/>
      <c r="J1" s="5"/>
      <c r="K1" s="5"/>
      <c r="L1" s="5"/>
      <c r="M1" s="4"/>
      <c r="N1" s="4"/>
      <c r="O1" s="10"/>
      <c r="P1" s="10"/>
      <c r="Q1" s="10"/>
      <c r="R1" s="10"/>
      <c r="S1" s="10"/>
      <c r="T1" s="10"/>
      <c r="U1" s="11"/>
      <c r="W1" s="12"/>
      <c r="X1" s="12"/>
      <c r="Y1" s="4"/>
      <c r="Z1" s="12"/>
      <c r="AC1" s="10"/>
      <c r="AD1" s="10"/>
      <c r="AE1" s="10"/>
      <c r="AF1" s="10"/>
      <c r="AG1" s="10"/>
      <c r="AH1" s="10"/>
      <c r="AI1" s="10"/>
      <c r="AJ1" s="10"/>
      <c r="AK1" s="10"/>
    </row>
    <row r="2">
      <c r="A2" s="4"/>
      <c r="C2" s="4"/>
      <c r="D2" s="4" t="s">
        <v>37</v>
      </c>
      <c r="E2" s="13" t="s">
        <v>38</v>
      </c>
      <c r="F2" s="14"/>
      <c r="G2" s="15"/>
      <c r="H2" s="16"/>
      <c r="I2" s="13" t="s">
        <v>39</v>
      </c>
      <c r="J2" s="14"/>
      <c r="K2" s="15"/>
      <c r="L2" s="16"/>
      <c r="M2" s="13" t="s">
        <v>40</v>
      </c>
      <c r="N2" s="14"/>
      <c r="O2" s="15"/>
      <c r="P2" s="16"/>
      <c r="Q2" s="13" t="s">
        <v>41</v>
      </c>
      <c r="R2" s="14"/>
      <c r="S2" s="15"/>
      <c r="T2" s="10"/>
      <c r="U2" s="10"/>
      <c r="V2" s="1"/>
      <c r="W2" s="8"/>
      <c r="X2" s="8"/>
      <c r="Y2" s="17" t="s">
        <v>42</v>
      </c>
      <c r="Z2" s="17" t="s">
        <v>43</v>
      </c>
      <c r="AC2" s="10"/>
      <c r="AD2" s="10"/>
      <c r="AE2" s="10"/>
      <c r="AF2" s="10"/>
      <c r="AG2" s="10"/>
      <c r="AH2" s="10"/>
      <c r="AI2" s="10"/>
      <c r="AJ2" s="10"/>
      <c r="AK2" s="10"/>
    </row>
    <row r="3">
      <c r="A3" s="4" t="s">
        <v>44</v>
      </c>
      <c r="B3" s="4" t="s">
        <v>45</v>
      </c>
      <c r="D3" s="10"/>
      <c r="E3" s="18" t="s">
        <v>20</v>
      </c>
      <c r="F3" s="19"/>
      <c r="G3" s="20" t="s">
        <v>19</v>
      </c>
      <c r="H3" s="21"/>
      <c r="I3" s="18" t="s">
        <v>14</v>
      </c>
      <c r="J3" s="19"/>
      <c r="K3" s="20" t="s">
        <v>21</v>
      </c>
      <c r="M3" s="18" t="s">
        <v>12</v>
      </c>
      <c r="N3" s="19"/>
      <c r="O3" s="20" t="s">
        <v>9</v>
      </c>
      <c r="P3" s="21"/>
      <c r="Q3" s="18" t="s">
        <v>10</v>
      </c>
      <c r="R3" s="19"/>
      <c r="S3" s="22" t="s">
        <v>29</v>
      </c>
      <c r="T3" s="10"/>
      <c r="U3" s="23"/>
      <c r="V3" s="23"/>
      <c r="W3" s="23"/>
      <c r="X3" s="23"/>
      <c r="Y3" s="24">
        <f t="shared" ref="Y3:Z3" si="1">SUM(Y78,Y83,Y88,Y93)</f>
        <v>1.5</v>
      </c>
      <c r="Z3" s="24">
        <f t="shared" si="1"/>
        <v>2.5</v>
      </c>
      <c r="AC3" s="10"/>
      <c r="AD3" s="10"/>
      <c r="AE3" s="10"/>
      <c r="AF3" s="10"/>
      <c r="AG3" s="10"/>
      <c r="AH3" s="10"/>
      <c r="AI3" s="10"/>
      <c r="AJ3" s="10"/>
      <c r="AK3" s="25"/>
    </row>
    <row r="4">
      <c r="A4" s="5" t="str">
        <f>Information!B22</f>
        <v>James</v>
      </c>
      <c r="B4" s="5">
        <f t="shared" ref="B4:B19" si="2">VLOOKUP(A4,$A$21:$B$39,2,false)</f>
        <v>16</v>
      </c>
      <c r="D4" s="10"/>
      <c r="E4" s="26"/>
      <c r="F4" s="21" t="s">
        <v>46</v>
      </c>
      <c r="G4" s="27"/>
      <c r="I4" s="26"/>
      <c r="J4" s="21" t="s">
        <v>46</v>
      </c>
      <c r="K4" s="27"/>
      <c r="L4" s="21"/>
      <c r="M4" s="26"/>
      <c r="N4" s="21" t="s">
        <v>46</v>
      </c>
      <c r="O4" s="27"/>
      <c r="Q4" s="26"/>
      <c r="R4" s="21" t="s">
        <v>46</v>
      </c>
      <c r="S4" s="27"/>
      <c r="T4" s="10"/>
      <c r="W4" s="23"/>
      <c r="X4" s="23"/>
      <c r="Y4" s="5"/>
      <c r="Z4" s="8"/>
      <c r="AC4" s="10"/>
      <c r="AD4" s="10"/>
      <c r="AE4" s="10"/>
      <c r="AF4" s="10"/>
      <c r="AG4" s="10"/>
      <c r="AH4" s="10"/>
      <c r="AI4" s="10"/>
      <c r="AJ4" s="10"/>
      <c r="AK4" s="10"/>
    </row>
    <row r="5">
      <c r="A5" s="5" t="str">
        <f>Information!B23</f>
        <v>Dan</v>
      </c>
      <c r="B5" s="5">
        <f t="shared" si="2"/>
        <v>7.8</v>
      </c>
      <c r="D5" s="10"/>
      <c r="E5" s="28" t="s">
        <v>18</v>
      </c>
      <c r="G5" s="29" t="s">
        <v>13</v>
      </c>
      <c r="H5" s="21"/>
      <c r="I5" s="28" t="s">
        <v>22</v>
      </c>
      <c r="K5" s="29" t="s">
        <v>23</v>
      </c>
      <c r="M5" s="28" t="s">
        <v>8</v>
      </c>
      <c r="O5" s="29" t="s">
        <v>17</v>
      </c>
      <c r="P5" s="21"/>
      <c r="Q5" s="28" t="s">
        <v>16</v>
      </c>
      <c r="S5" s="29" t="s">
        <v>11</v>
      </c>
      <c r="T5" s="10"/>
      <c r="Y5" s="10"/>
      <c r="Z5" s="9"/>
      <c r="AC5" s="10"/>
      <c r="AD5" s="10"/>
      <c r="AE5" s="10"/>
      <c r="AF5" s="10"/>
      <c r="AG5" s="10"/>
      <c r="AH5" s="10"/>
      <c r="AI5" s="10"/>
      <c r="AJ5" s="10"/>
      <c r="AK5" s="10"/>
    </row>
    <row r="6">
      <c r="A6" s="5" t="str">
        <f>Information!B24</f>
        <v>Kyle</v>
      </c>
      <c r="B6" s="5">
        <f t="shared" si="2"/>
        <v>10.4</v>
      </c>
      <c r="D6" s="4"/>
      <c r="E6" s="28"/>
      <c r="F6" s="21"/>
      <c r="G6" s="29"/>
      <c r="H6" s="8"/>
      <c r="I6" s="28"/>
      <c r="J6" s="21"/>
      <c r="K6" s="29"/>
      <c r="L6" s="8"/>
      <c r="M6" s="28"/>
      <c r="N6" s="21"/>
      <c r="O6" s="29"/>
      <c r="P6" s="8"/>
      <c r="Q6" s="28"/>
      <c r="R6" s="21"/>
      <c r="S6" s="29"/>
      <c r="T6" s="10"/>
      <c r="U6" s="10"/>
      <c r="V6" s="4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>
      <c r="A7" s="5" t="str">
        <f>Information!B25</f>
        <v>Brett</v>
      </c>
      <c r="B7" s="5">
        <f t="shared" si="2"/>
        <v>12.9</v>
      </c>
      <c r="D7" s="4" t="s">
        <v>47</v>
      </c>
      <c r="E7" s="30">
        <f>(VLOOKUP(E3,Information!$B$22:$C$37,2,false))+(VLOOKUP(E5,Information!$B$22:$C$37,2,false))</f>
        <v>26.5</v>
      </c>
      <c r="F7" s="31"/>
      <c r="G7" s="32">
        <f>(VLOOKUP(G3,Information!$B$22:$C$37,2,false))+(VLOOKUP(G5,Information!$B$22:$C$37,2,false))</f>
        <v>25.8</v>
      </c>
      <c r="H7" s="33"/>
      <c r="I7" s="30">
        <f>(VLOOKUP(I3,Information!$B$22:$C$37,2,false))+(VLOOKUP(I5,Information!$B$22:$C$37,2,false))</f>
        <v>42.9</v>
      </c>
      <c r="J7" s="31"/>
      <c r="K7" s="32">
        <f>(VLOOKUP(K3,Information!$B$22:$C$37,2,false))+(VLOOKUP(K5,Information!$B$22:$C$37,2,false))</f>
        <v>35.7</v>
      </c>
      <c r="L7" s="33"/>
      <c r="M7" s="30">
        <f>(VLOOKUP(M3,Information!$B$22:$C$37,2,false))+(VLOOKUP(M5,Information!$B$22:$C$37,2,false))</f>
        <v>26.4</v>
      </c>
      <c r="N7" s="31"/>
      <c r="O7" s="32">
        <f>(VLOOKUP(O3,Information!$B$22:$C$37,2,false))+(VLOOKUP(O5,Information!$B$22:$C$37,2,false))</f>
        <v>31.8</v>
      </c>
      <c r="P7" s="33"/>
      <c r="Q7" s="30">
        <f>(VLOOKUP(Q3,Information!$B$22:$C$37,2,false))+(VLOOKUP(Q5,Information!$B$22:$C$37,2,false))</f>
        <v>29.7</v>
      </c>
      <c r="R7" s="31"/>
      <c r="S7" s="32">
        <f>(VLOOKUP(S3,Information!$B$22:$C$37,2,false))+(VLOOKUP(S5,Information!$B$22:$C$37,2,false))</f>
        <v>22.3</v>
      </c>
      <c r="T7" s="10"/>
      <c r="U7" s="10"/>
      <c r="V7" s="4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>
      <c r="A8" s="5" t="str">
        <f>Information!B26</f>
        <v>Jon</v>
      </c>
      <c r="B8" s="5">
        <f t="shared" si="2"/>
        <v>21.9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>
      <c r="A9" s="5" t="str">
        <f>Information!B27</f>
        <v>Tovey</v>
      </c>
      <c r="B9" s="5">
        <f t="shared" si="2"/>
        <v>14.5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>
      <c r="A10" s="5" t="str">
        <f>Information!B28</f>
        <v>Cole</v>
      </c>
      <c r="B10" s="5">
        <f t="shared" si="2"/>
        <v>12</v>
      </c>
      <c r="D10" s="34" t="s">
        <v>48</v>
      </c>
      <c r="E10" s="35" t="s">
        <v>49</v>
      </c>
      <c r="F10" s="14"/>
      <c r="G10" s="14"/>
      <c r="H10" s="14"/>
      <c r="I10" s="14"/>
      <c r="J10" s="14"/>
      <c r="K10" s="14"/>
      <c r="L10" s="14"/>
      <c r="M10" s="14"/>
      <c r="N10" s="35" t="s">
        <v>49</v>
      </c>
      <c r="O10" s="14"/>
      <c r="P10" s="14"/>
      <c r="Q10" s="14"/>
      <c r="R10" s="14"/>
      <c r="S10" s="14"/>
      <c r="T10" s="14"/>
      <c r="U10" s="14"/>
      <c r="V10" s="15"/>
      <c r="W10" s="21"/>
      <c r="X10" s="21"/>
      <c r="Y10" s="21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>
      <c r="A11" s="5" t="str">
        <f>Information!B29</f>
        <v>Matt</v>
      </c>
      <c r="B11" s="5">
        <f t="shared" si="2"/>
        <v>30</v>
      </c>
      <c r="D11" s="36" t="s">
        <v>50</v>
      </c>
      <c r="E11" s="37">
        <v>1.0</v>
      </c>
      <c r="F11" s="37">
        <v>2.0</v>
      </c>
      <c r="G11" s="37">
        <v>3.0</v>
      </c>
      <c r="H11" s="37">
        <v>4.0</v>
      </c>
      <c r="I11" s="37">
        <v>5.0</v>
      </c>
      <c r="J11" s="37">
        <v>6.0</v>
      </c>
      <c r="K11" s="37">
        <v>7.0</v>
      </c>
      <c r="L11" s="37">
        <v>8.0</v>
      </c>
      <c r="M11" s="37">
        <v>9.0</v>
      </c>
      <c r="N11" s="37">
        <v>10.0</v>
      </c>
      <c r="O11" s="37">
        <v>11.0</v>
      </c>
      <c r="P11" s="37">
        <v>12.0</v>
      </c>
      <c r="Q11" s="37">
        <v>13.0</v>
      </c>
      <c r="R11" s="37">
        <v>14.0</v>
      </c>
      <c r="S11" s="37">
        <v>15.0</v>
      </c>
      <c r="T11" s="37">
        <v>16.0</v>
      </c>
      <c r="U11" s="37">
        <v>17.0</v>
      </c>
      <c r="V11" s="37">
        <v>18.0</v>
      </c>
      <c r="W11" s="21"/>
      <c r="X11" s="21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>
      <c r="A12" s="5" t="str">
        <f>Information!B30</f>
        <v>Dillon</v>
      </c>
      <c r="B12" s="5">
        <f t="shared" si="2"/>
        <v>16.6</v>
      </c>
      <c r="D12" s="38" t="s">
        <v>51</v>
      </c>
      <c r="E12" s="39">
        <v>4.0</v>
      </c>
      <c r="F12" s="39">
        <v>3.0</v>
      </c>
      <c r="G12" s="39">
        <v>4.0</v>
      </c>
      <c r="H12" s="39">
        <v>4.0</v>
      </c>
      <c r="I12" s="39">
        <v>4.0</v>
      </c>
      <c r="J12" s="39">
        <v>5.0</v>
      </c>
      <c r="K12" s="39">
        <v>3.0</v>
      </c>
      <c r="L12" s="39">
        <v>4.0</v>
      </c>
      <c r="M12" s="39">
        <v>5.0</v>
      </c>
      <c r="N12" s="39">
        <v>4.0</v>
      </c>
      <c r="O12" s="39">
        <v>3.0</v>
      </c>
      <c r="P12" s="39">
        <v>4.0</v>
      </c>
      <c r="Q12" s="39">
        <v>4.0</v>
      </c>
      <c r="R12" s="39">
        <v>3.0</v>
      </c>
      <c r="S12" s="39">
        <v>4.0</v>
      </c>
      <c r="T12" s="39">
        <v>5.0</v>
      </c>
      <c r="U12" s="39">
        <v>3.0</v>
      </c>
      <c r="V12" s="39">
        <v>5.0</v>
      </c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>
      <c r="A13" s="5" t="str">
        <f>Information!B31</f>
        <v>Corey</v>
      </c>
      <c r="B13" s="5">
        <f t="shared" si="2"/>
        <v>12</v>
      </c>
      <c r="D13" s="38" t="s">
        <v>52</v>
      </c>
      <c r="E13" s="39">
        <v>13.0</v>
      </c>
      <c r="F13" s="39">
        <v>15.0</v>
      </c>
      <c r="G13" s="39">
        <v>5.0</v>
      </c>
      <c r="H13" s="39">
        <v>1.0</v>
      </c>
      <c r="I13" s="39">
        <v>3.0</v>
      </c>
      <c r="J13" s="39">
        <v>9.0</v>
      </c>
      <c r="K13" s="39">
        <v>17.0</v>
      </c>
      <c r="L13" s="39">
        <v>11.0</v>
      </c>
      <c r="M13" s="39">
        <v>7.0</v>
      </c>
      <c r="N13" s="39">
        <v>6.0</v>
      </c>
      <c r="O13" s="39">
        <v>16.0</v>
      </c>
      <c r="P13" s="39">
        <v>8.0</v>
      </c>
      <c r="Q13" s="39">
        <v>2.0</v>
      </c>
      <c r="R13" s="39">
        <v>18.0</v>
      </c>
      <c r="S13" s="39">
        <v>12.0</v>
      </c>
      <c r="T13" s="39">
        <v>10.0</v>
      </c>
      <c r="U13" s="39">
        <v>14.0</v>
      </c>
      <c r="V13" s="39">
        <v>4.0</v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>
      <c r="A14" s="5" t="str">
        <f>Information!B32</f>
        <v>Andy</v>
      </c>
      <c r="B14" s="5">
        <f t="shared" si="2"/>
        <v>9.8</v>
      </c>
      <c r="D14" s="21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>
      <c r="A15" s="5" t="str">
        <f>Information!B33</f>
        <v>JoePa</v>
      </c>
      <c r="B15" s="5">
        <f t="shared" si="2"/>
        <v>10.3</v>
      </c>
      <c r="D15" s="40" t="s">
        <v>50</v>
      </c>
      <c r="E15" s="41">
        <v>1.0</v>
      </c>
      <c r="F15" s="41">
        <v>2.0</v>
      </c>
      <c r="G15" s="41">
        <v>3.0</v>
      </c>
      <c r="H15" s="41">
        <v>4.0</v>
      </c>
      <c r="I15" s="41">
        <v>5.0</v>
      </c>
      <c r="J15" s="41">
        <v>6.0</v>
      </c>
      <c r="K15" s="41">
        <v>7.0</v>
      </c>
      <c r="L15" s="41">
        <v>8.0</v>
      </c>
      <c r="M15" s="42">
        <v>9.0</v>
      </c>
      <c r="N15" s="43">
        <v>10.0</v>
      </c>
      <c r="O15" s="41">
        <v>11.0</v>
      </c>
      <c r="P15" s="41">
        <v>12.0</v>
      </c>
      <c r="Q15" s="41">
        <v>13.0</v>
      </c>
      <c r="R15" s="41">
        <v>14.0</v>
      </c>
      <c r="S15" s="41">
        <v>15.0</v>
      </c>
      <c r="T15" s="41">
        <v>16.0</v>
      </c>
      <c r="U15" s="41">
        <v>17.0</v>
      </c>
      <c r="V15" s="42">
        <v>18.0</v>
      </c>
      <c r="W15" s="21"/>
      <c r="X15" s="44" t="s">
        <v>53</v>
      </c>
      <c r="Y15" s="44" t="s">
        <v>54</v>
      </c>
      <c r="Z15" s="44" t="s">
        <v>55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>
      <c r="A16" s="5" t="str">
        <f>Information!B34</f>
        <v>Juan</v>
      </c>
      <c r="B16" s="5">
        <f t="shared" si="2"/>
        <v>15.2</v>
      </c>
      <c r="C16" s="45" t="s">
        <v>56</v>
      </c>
      <c r="D16" s="46" t="str">
        <f t="shared" ref="D16:D34" si="3">A21</f>
        <v>Cole</v>
      </c>
      <c r="E16" s="47">
        <v>5.0</v>
      </c>
      <c r="F16" s="47">
        <v>4.0</v>
      </c>
      <c r="G16" s="47">
        <v>5.0</v>
      </c>
      <c r="H16" s="47">
        <v>7.0</v>
      </c>
      <c r="I16" s="47">
        <v>5.0</v>
      </c>
      <c r="J16" s="47">
        <v>7.0</v>
      </c>
      <c r="K16" s="47">
        <v>3.0</v>
      </c>
      <c r="L16" s="47">
        <v>5.0</v>
      </c>
      <c r="M16" s="48">
        <v>7.0</v>
      </c>
      <c r="N16" s="49">
        <v>6.0</v>
      </c>
      <c r="O16" s="47">
        <v>5.0</v>
      </c>
      <c r="P16" s="47">
        <v>5.0</v>
      </c>
      <c r="Q16" s="47">
        <v>6.0</v>
      </c>
      <c r="R16" s="47">
        <v>4.0</v>
      </c>
      <c r="S16" s="47">
        <v>4.0</v>
      </c>
      <c r="T16" s="47">
        <v>6.0</v>
      </c>
      <c r="U16" s="47">
        <v>4.0</v>
      </c>
      <c r="V16" s="48">
        <v>6.0</v>
      </c>
      <c r="W16" s="21"/>
      <c r="X16" s="50">
        <f t="shared" ref="X16:X19" si="4">SUM(E16:M16)</f>
        <v>48</v>
      </c>
      <c r="Y16" s="50">
        <f t="shared" ref="Y16:Y19" si="5">SUM(N16:V16)</f>
        <v>46</v>
      </c>
      <c r="Z16" s="51">
        <f t="shared" ref="Z16:Z19" si="6">sum(X16,Y16)</f>
        <v>94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>
      <c r="A17" s="5" t="str">
        <f>Information!B35</f>
        <v>Connor</v>
      </c>
      <c r="B17" s="5">
        <f t="shared" si="2"/>
        <v>16</v>
      </c>
      <c r="C17" s="52"/>
      <c r="D17" s="5" t="str">
        <f t="shared" si="3"/>
        <v>Tovey</v>
      </c>
      <c r="E17" s="53">
        <v>5.0</v>
      </c>
      <c r="F17" s="53">
        <v>6.0</v>
      </c>
      <c r="G17" s="53">
        <v>4.0</v>
      </c>
      <c r="H17" s="53">
        <v>4.0</v>
      </c>
      <c r="I17" s="53">
        <v>5.0</v>
      </c>
      <c r="J17" s="53">
        <v>5.0</v>
      </c>
      <c r="K17" s="53">
        <v>4.0</v>
      </c>
      <c r="L17" s="53">
        <v>5.0</v>
      </c>
      <c r="M17" s="54">
        <v>8.0</v>
      </c>
      <c r="N17" s="55">
        <v>5.0</v>
      </c>
      <c r="O17" s="53">
        <v>3.0</v>
      </c>
      <c r="P17" s="53">
        <v>4.0</v>
      </c>
      <c r="Q17" s="53">
        <v>7.0</v>
      </c>
      <c r="R17" s="53">
        <v>4.0</v>
      </c>
      <c r="S17" s="53">
        <v>5.0</v>
      </c>
      <c r="T17" s="53">
        <v>4.0</v>
      </c>
      <c r="U17" s="53">
        <v>3.0</v>
      </c>
      <c r="V17" s="54">
        <v>7.0</v>
      </c>
      <c r="W17" s="21"/>
      <c r="X17" s="56">
        <f t="shared" si="4"/>
        <v>46</v>
      </c>
      <c r="Y17" s="56">
        <f t="shared" si="5"/>
        <v>42</v>
      </c>
      <c r="Z17" s="57">
        <f t="shared" si="6"/>
        <v>88</v>
      </c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>
      <c r="A18" s="5" t="str">
        <f>Information!B36</f>
        <v>Bud</v>
      </c>
      <c r="B18" s="5">
        <f t="shared" si="2"/>
        <v>18</v>
      </c>
      <c r="C18" s="52"/>
      <c r="D18" s="5" t="str">
        <f t="shared" si="3"/>
        <v>Connor</v>
      </c>
      <c r="E18" s="53">
        <v>8.0</v>
      </c>
      <c r="F18" s="53">
        <v>6.0</v>
      </c>
      <c r="G18" s="53">
        <v>8.0</v>
      </c>
      <c r="H18" s="53">
        <v>8.0</v>
      </c>
      <c r="I18" s="53">
        <v>8.0</v>
      </c>
      <c r="J18" s="53">
        <v>10.0</v>
      </c>
      <c r="K18" s="53">
        <v>6.0</v>
      </c>
      <c r="L18" s="53">
        <v>7.0</v>
      </c>
      <c r="M18" s="54">
        <v>8.0</v>
      </c>
      <c r="N18" s="55">
        <v>5.0</v>
      </c>
      <c r="O18" s="53">
        <v>4.0</v>
      </c>
      <c r="P18" s="53">
        <v>5.0</v>
      </c>
      <c r="Q18" s="53">
        <v>7.0</v>
      </c>
      <c r="R18" s="53">
        <v>4.0</v>
      </c>
      <c r="S18" s="53">
        <v>4.0</v>
      </c>
      <c r="T18" s="53">
        <v>5.0</v>
      </c>
      <c r="U18" s="53">
        <v>4.0</v>
      </c>
      <c r="V18" s="54">
        <v>6.0</v>
      </c>
      <c r="W18" s="21"/>
      <c r="X18" s="56">
        <f t="shared" si="4"/>
        <v>69</v>
      </c>
      <c r="Y18" s="56">
        <f t="shared" si="5"/>
        <v>44</v>
      </c>
      <c r="Z18" s="57">
        <f t="shared" si="6"/>
        <v>113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>
      <c r="A19" s="5" t="str">
        <f>Information!B37</f>
        <v>Vince</v>
      </c>
      <c r="B19" s="5">
        <f t="shared" si="2"/>
        <v>17.7</v>
      </c>
      <c r="C19" s="52"/>
      <c r="D19" s="5" t="str">
        <f t="shared" si="3"/>
        <v>Andy</v>
      </c>
      <c r="E19" s="53">
        <v>3.0</v>
      </c>
      <c r="F19" s="53">
        <v>4.0</v>
      </c>
      <c r="G19" s="53">
        <v>5.0</v>
      </c>
      <c r="H19" s="53">
        <v>7.0</v>
      </c>
      <c r="I19" s="53">
        <v>5.0</v>
      </c>
      <c r="J19" s="53">
        <v>5.0</v>
      </c>
      <c r="K19" s="53">
        <v>3.0</v>
      </c>
      <c r="L19" s="53">
        <v>4.0</v>
      </c>
      <c r="M19" s="54">
        <v>5.0</v>
      </c>
      <c r="N19" s="55">
        <v>5.0</v>
      </c>
      <c r="O19" s="53">
        <v>3.0</v>
      </c>
      <c r="P19" s="53">
        <v>5.0</v>
      </c>
      <c r="Q19" s="53">
        <v>7.0</v>
      </c>
      <c r="R19" s="53">
        <v>3.0</v>
      </c>
      <c r="S19" s="53">
        <v>5.0</v>
      </c>
      <c r="T19" s="53">
        <v>6.0</v>
      </c>
      <c r="U19" s="53">
        <v>3.0</v>
      </c>
      <c r="V19" s="54">
        <v>5.0</v>
      </c>
      <c r="W19" s="21"/>
      <c r="X19" s="56">
        <f t="shared" si="4"/>
        <v>41</v>
      </c>
      <c r="Y19" s="56">
        <f t="shared" si="5"/>
        <v>42</v>
      </c>
      <c r="Z19" s="57">
        <f t="shared" si="6"/>
        <v>83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>
      <c r="C20" s="58"/>
      <c r="D20" s="5" t="str">
        <f t="shared" si="3"/>
        <v/>
      </c>
      <c r="E20" s="59"/>
      <c r="F20" s="59"/>
      <c r="G20" s="59"/>
      <c r="H20" s="59"/>
      <c r="I20" s="59"/>
      <c r="J20" s="59"/>
      <c r="K20" s="59"/>
      <c r="L20" s="59"/>
      <c r="M20" s="60"/>
      <c r="N20" s="61"/>
      <c r="O20" s="59"/>
      <c r="P20" s="59"/>
      <c r="Q20" s="59"/>
      <c r="R20" s="59"/>
      <c r="S20" s="59"/>
      <c r="T20" s="59"/>
      <c r="U20" s="59"/>
      <c r="V20" s="60"/>
      <c r="W20" s="21"/>
      <c r="X20" s="62"/>
      <c r="Y20" s="62"/>
      <c r="Z20" s="63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>
      <c r="A21" s="21" t="str">
        <f>E3</f>
        <v>Cole</v>
      </c>
      <c r="B21" s="64">
        <f>VLOOKUP(A21, Information!$B$22:$G$37, 3, FALSE)</f>
        <v>12</v>
      </c>
      <c r="C21" s="65" t="s">
        <v>56</v>
      </c>
      <c r="D21" s="5" t="str">
        <f t="shared" si="3"/>
        <v>Brett</v>
      </c>
      <c r="E21" s="53">
        <v>4.0</v>
      </c>
      <c r="F21" s="53">
        <v>4.0</v>
      </c>
      <c r="G21" s="53">
        <v>5.0</v>
      </c>
      <c r="H21" s="53">
        <v>6.0</v>
      </c>
      <c r="I21" s="53">
        <v>6.0</v>
      </c>
      <c r="J21" s="53">
        <v>8.0</v>
      </c>
      <c r="K21" s="53">
        <v>3.0</v>
      </c>
      <c r="L21" s="53">
        <v>7.0</v>
      </c>
      <c r="M21" s="54">
        <v>6.0</v>
      </c>
      <c r="N21" s="55">
        <v>5.0</v>
      </c>
      <c r="O21" s="53">
        <v>6.0</v>
      </c>
      <c r="P21" s="53">
        <v>6.0</v>
      </c>
      <c r="Q21" s="53">
        <v>6.0</v>
      </c>
      <c r="R21" s="53">
        <v>5.0</v>
      </c>
      <c r="S21" s="53">
        <v>4.0</v>
      </c>
      <c r="T21" s="53">
        <v>6.0</v>
      </c>
      <c r="U21" s="53">
        <v>3.0</v>
      </c>
      <c r="V21" s="54">
        <v>6.0</v>
      </c>
      <c r="W21" s="21"/>
      <c r="X21" s="56">
        <f t="shared" ref="X21:X24" si="7">SUM(E21:M21)</f>
        <v>49</v>
      </c>
      <c r="Y21" s="56">
        <f t="shared" ref="Y21:Y24" si="8">SUM(N21:V21)</f>
        <v>47</v>
      </c>
      <c r="Z21" s="57">
        <f t="shared" ref="Z21:Z24" si="9">sum(X21,Y21)</f>
        <v>96</v>
      </c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>
      <c r="A22" s="21" t="str">
        <f>E5</f>
        <v>Tovey</v>
      </c>
      <c r="B22" s="64">
        <f>VLOOKUP(A22, Information!$B$22:$G$37, 3, FALSE)</f>
        <v>14.5</v>
      </c>
      <c r="C22" s="52"/>
      <c r="D22" s="5" t="str">
        <f t="shared" si="3"/>
        <v>Matt</v>
      </c>
      <c r="E22" s="53">
        <v>6.0</v>
      </c>
      <c r="F22" s="53">
        <v>5.0</v>
      </c>
      <c r="G22" s="53">
        <v>5.0</v>
      </c>
      <c r="H22" s="53">
        <v>6.0</v>
      </c>
      <c r="I22" s="53">
        <v>8.0</v>
      </c>
      <c r="J22" s="53">
        <v>9.0</v>
      </c>
      <c r="K22" s="53">
        <v>5.0</v>
      </c>
      <c r="L22" s="53">
        <v>7.0</v>
      </c>
      <c r="M22" s="54">
        <v>7.0</v>
      </c>
      <c r="N22" s="55">
        <v>6.0</v>
      </c>
      <c r="O22" s="53">
        <v>7.0</v>
      </c>
      <c r="P22" s="53">
        <v>6.0</v>
      </c>
      <c r="Q22" s="53">
        <v>6.0</v>
      </c>
      <c r="R22" s="53">
        <v>5.0</v>
      </c>
      <c r="S22" s="53">
        <v>5.0</v>
      </c>
      <c r="T22" s="53">
        <v>7.0</v>
      </c>
      <c r="U22" s="53">
        <v>5.0</v>
      </c>
      <c r="V22" s="54">
        <v>7.0</v>
      </c>
      <c r="W22" s="21"/>
      <c r="X22" s="56">
        <f t="shared" si="7"/>
        <v>58</v>
      </c>
      <c r="Y22" s="56">
        <f t="shared" si="8"/>
        <v>54</v>
      </c>
      <c r="Z22" s="57">
        <f t="shared" si="9"/>
        <v>112</v>
      </c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>
      <c r="A23" s="21" t="str">
        <f>G3</f>
        <v>Connor</v>
      </c>
      <c r="B23" s="64">
        <f>VLOOKUP(A23, Information!$B$22:$G$37, 3, FALSE)</f>
        <v>16</v>
      </c>
      <c r="C23" s="52"/>
      <c r="D23" s="5" t="str">
        <f t="shared" si="3"/>
        <v>Bud</v>
      </c>
      <c r="E23" s="53">
        <v>6.0</v>
      </c>
      <c r="F23" s="53">
        <v>3.0</v>
      </c>
      <c r="G23" s="53">
        <v>7.0</v>
      </c>
      <c r="H23" s="53">
        <v>7.0</v>
      </c>
      <c r="I23" s="53">
        <v>6.0</v>
      </c>
      <c r="J23" s="53">
        <v>7.0</v>
      </c>
      <c r="K23" s="53">
        <v>4.0</v>
      </c>
      <c r="L23" s="53">
        <v>5.0</v>
      </c>
      <c r="M23" s="54">
        <v>7.0</v>
      </c>
      <c r="N23" s="55">
        <v>5.0</v>
      </c>
      <c r="O23" s="53">
        <v>4.0</v>
      </c>
      <c r="P23" s="53">
        <v>5.0</v>
      </c>
      <c r="Q23" s="53">
        <v>7.0</v>
      </c>
      <c r="R23" s="53">
        <v>6.0</v>
      </c>
      <c r="S23" s="53">
        <v>6.0</v>
      </c>
      <c r="T23" s="53">
        <v>6.0</v>
      </c>
      <c r="U23" s="53">
        <v>5.0</v>
      </c>
      <c r="V23" s="54">
        <v>7.0</v>
      </c>
      <c r="W23" s="21"/>
      <c r="X23" s="56">
        <f t="shared" si="7"/>
        <v>52</v>
      </c>
      <c r="Y23" s="56">
        <f t="shared" si="8"/>
        <v>51</v>
      </c>
      <c r="Z23" s="57">
        <f t="shared" si="9"/>
        <v>103</v>
      </c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>
      <c r="A24" s="21" t="str">
        <f>G5</f>
        <v>Andy</v>
      </c>
      <c r="B24" s="64">
        <f>VLOOKUP(A24, Information!$B$22:$G$37, 3, FALSE)</f>
        <v>9.8</v>
      </c>
      <c r="C24" s="52"/>
      <c r="D24" s="5" t="str">
        <f t="shared" si="3"/>
        <v>Vince</v>
      </c>
      <c r="E24" s="53">
        <v>5.0</v>
      </c>
      <c r="F24" s="53">
        <v>4.0</v>
      </c>
      <c r="G24" s="53">
        <v>6.0</v>
      </c>
      <c r="H24" s="53">
        <v>6.0</v>
      </c>
      <c r="I24" s="53">
        <v>5.0</v>
      </c>
      <c r="J24" s="53">
        <v>8.0</v>
      </c>
      <c r="K24" s="53">
        <v>4.0</v>
      </c>
      <c r="L24" s="53">
        <v>6.0</v>
      </c>
      <c r="M24" s="54">
        <v>6.0</v>
      </c>
      <c r="N24" s="55">
        <v>5.0</v>
      </c>
      <c r="O24" s="53">
        <v>3.0</v>
      </c>
      <c r="P24" s="53">
        <v>4.0</v>
      </c>
      <c r="Q24" s="53">
        <v>7.0</v>
      </c>
      <c r="R24" s="53">
        <v>5.0</v>
      </c>
      <c r="S24" s="53">
        <v>6.0</v>
      </c>
      <c r="T24" s="53">
        <v>6.0</v>
      </c>
      <c r="U24" s="53">
        <v>5.0</v>
      </c>
      <c r="V24" s="54">
        <v>6.0</v>
      </c>
      <c r="W24" s="21"/>
      <c r="X24" s="56">
        <f t="shared" si="7"/>
        <v>50</v>
      </c>
      <c r="Y24" s="56">
        <f t="shared" si="8"/>
        <v>47</v>
      </c>
      <c r="Z24" s="57">
        <f t="shared" si="9"/>
        <v>97</v>
      </c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>
      <c r="A25" s="21"/>
      <c r="B25" s="64"/>
      <c r="C25" s="58"/>
      <c r="D25" s="5" t="str">
        <f t="shared" si="3"/>
        <v/>
      </c>
      <c r="E25" s="59"/>
      <c r="F25" s="59"/>
      <c r="G25" s="59"/>
      <c r="H25" s="59"/>
      <c r="I25" s="59"/>
      <c r="J25" s="59"/>
      <c r="K25" s="59"/>
      <c r="L25" s="59"/>
      <c r="M25" s="60"/>
      <c r="N25" s="61"/>
      <c r="O25" s="59"/>
      <c r="P25" s="59"/>
      <c r="Q25" s="59"/>
      <c r="R25" s="59"/>
      <c r="S25" s="59"/>
      <c r="T25" s="59"/>
      <c r="U25" s="59"/>
      <c r="V25" s="60"/>
      <c r="W25" s="21"/>
      <c r="X25" s="62"/>
      <c r="Y25" s="62"/>
      <c r="Z25" s="63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>
      <c r="A26" s="21" t="str">
        <f>I3</f>
        <v>Brett</v>
      </c>
      <c r="B26" s="64">
        <f>VLOOKUP(A26, Information!$B$22:$G$37, 3, FALSE)</f>
        <v>12.9</v>
      </c>
      <c r="C26" s="65" t="s">
        <v>56</v>
      </c>
      <c r="D26" s="5" t="str">
        <f t="shared" si="3"/>
        <v>Kyle</v>
      </c>
      <c r="E26" s="66">
        <f t="shared" ref="E26:V26" si="10">ROUNDUP(RANDBETWEEN(2,9))</f>
        <v>7</v>
      </c>
      <c r="F26" s="66">
        <f t="shared" si="10"/>
        <v>7</v>
      </c>
      <c r="G26" s="66">
        <f t="shared" si="10"/>
        <v>2</v>
      </c>
      <c r="H26" s="66">
        <f t="shared" si="10"/>
        <v>4</v>
      </c>
      <c r="I26" s="66">
        <f t="shared" si="10"/>
        <v>6</v>
      </c>
      <c r="J26" s="66">
        <f t="shared" si="10"/>
        <v>4</v>
      </c>
      <c r="K26" s="66">
        <f t="shared" si="10"/>
        <v>8</v>
      </c>
      <c r="L26" s="66">
        <f t="shared" si="10"/>
        <v>9</v>
      </c>
      <c r="M26" s="67">
        <f t="shared" si="10"/>
        <v>6</v>
      </c>
      <c r="N26" s="68">
        <f t="shared" si="10"/>
        <v>5</v>
      </c>
      <c r="O26" s="66">
        <f t="shared" si="10"/>
        <v>8</v>
      </c>
      <c r="P26" s="66">
        <f t="shared" si="10"/>
        <v>4</v>
      </c>
      <c r="Q26" s="66">
        <f t="shared" si="10"/>
        <v>3</v>
      </c>
      <c r="R26" s="66">
        <f t="shared" si="10"/>
        <v>6</v>
      </c>
      <c r="S26" s="66">
        <f t="shared" si="10"/>
        <v>5</v>
      </c>
      <c r="T26" s="66">
        <f t="shared" si="10"/>
        <v>2</v>
      </c>
      <c r="U26" s="66">
        <f t="shared" si="10"/>
        <v>8</v>
      </c>
      <c r="V26" s="67">
        <f t="shared" si="10"/>
        <v>9</v>
      </c>
      <c r="W26" s="21"/>
      <c r="X26" s="56">
        <f t="shared" ref="X26:X29" si="12">SUM(E26:M26)</f>
        <v>53</v>
      </c>
      <c r="Y26" s="56">
        <f t="shared" ref="Y26:Y29" si="13">SUM(N26:V26)</f>
        <v>50</v>
      </c>
      <c r="Z26" s="57">
        <f t="shared" ref="Z26:Z29" si="14">sum(X26,Y26)</f>
        <v>103</v>
      </c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>
      <c r="A27" s="21" t="str">
        <f>I5</f>
        <v>Matt</v>
      </c>
      <c r="B27" s="64">
        <f>VLOOKUP(A27, Information!$B$22:$G$37, 3, FALSE)</f>
        <v>30</v>
      </c>
      <c r="C27" s="52"/>
      <c r="D27" s="5" t="str">
        <f t="shared" si="3"/>
        <v>James</v>
      </c>
      <c r="E27" s="66">
        <f t="shared" ref="E27:V27" si="11">ROUNDUP(RANDBETWEEN(2,9))</f>
        <v>8</v>
      </c>
      <c r="F27" s="66">
        <f t="shared" si="11"/>
        <v>8</v>
      </c>
      <c r="G27" s="66">
        <f t="shared" si="11"/>
        <v>9</v>
      </c>
      <c r="H27" s="66">
        <f t="shared" si="11"/>
        <v>3</v>
      </c>
      <c r="I27" s="66">
        <f t="shared" si="11"/>
        <v>5</v>
      </c>
      <c r="J27" s="66">
        <f t="shared" si="11"/>
        <v>4</v>
      </c>
      <c r="K27" s="66">
        <f t="shared" si="11"/>
        <v>3</v>
      </c>
      <c r="L27" s="66">
        <f t="shared" si="11"/>
        <v>8</v>
      </c>
      <c r="M27" s="67">
        <f t="shared" si="11"/>
        <v>8</v>
      </c>
      <c r="N27" s="68">
        <f t="shared" si="11"/>
        <v>6</v>
      </c>
      <c r="O27" s="66">
        <f t="shared" si="11"/>
        <v>3</v>
      </c>
      <c r="P27" s="66">
        <f t="shared" si="11"/>
        <v>5</v>
      </c>
      <c r="Q27" s="66">
        <f t="shared" si="11"/>
        <v>7</v>
      </c>
      <c r="R27" s="66">
        <f t="shared" si="11"/>
        <v>6</v>
      </c>
      <c r="S27" s="66">
        <f t="shared" si="11"/>
        <v>7</v>
      </c>
      <c r="T27" s="66">
        <f t="shared" si="11"/>
        <v>7</v>
      </c>
      <c r="U27" s="66">
        <f t="shared" si="11"/>
        <v>5</v>
      </c>
      <c r="V27" s="67">
        <f t="shared" si="11"/>
        <v>6</v>
      </c>
      <c r="W27" s="21"/>
      <c r="X27" s="56">
        <f t="shared" si="12"/>
        <v>56</v>
      </c>
      <c r="Y27" s="56">
        <f t="shared" si="13"/>
        <v>52</v>
      </c>
      <c r="Z27" s="57">
        <f t="shared" si="14"/>
        <v>108</v>
      </c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>
      <c r="A28" s="21" t="str">
        <f>K3</f>
        <v>Bud</v>
      </c>
      <c r="B28" s="64">
        <f>VLOOKUP(A28, Information!$B$22:$G$37, 3, FALSE)</f>
        <v>18</v>
      </c>
      <c r="C28" s="52"/>
      <c r="D28" s="5" t="str">
        <f t="shared" si="3"/>
        <v>Dillon</v>
      </c>
      <c r="E28" s="66">
        <f t="shared" ref="E28:V28" si="15">ROUNDUP(RANDBETWEEN(2,9))</f>
        <v>3</v>
      </c>
      <c r="F28" s="66">
        <f t="shared" si="15"/>
        <v>7</v>
      </c>
      <c r="G28" s="66">
        <f t="shared" si="15"/>
        <v>2</v>
      </c>
      <c r="H28" s="66">
        <f t="shared" si="15"/>
        <v>2</v>
      </c>
      <c r="I28" s="66">
        <f t="shared" si="15"/>
        <v>7</v>
      </c>
      <c r="J28" s="66">
        <f t="shared" si="15"/>
        <v>3</v>
      </c>
      <c r="K28" s="66">
        <f t="shared" si="15"/>
        <v>9</v>
      </c>
      <c r="L28" s="66">
        <f t="shared" si="15"/>
        <v>3</v>
      </c>
      <c r="M28" s="67">
        <f t="shared" si="15"/>
        <v>8</v>
      </c>
      <c r="N28" s="68">
        <f t="shared" si="15"/>
        <v>8</v>
      </c>
      <c r="O28" s="66">
        <f t="shared" si="15"/>
        <v>2</v>
      </c>
      <c r="P28" s="66">
        <f t="shared" si="15"/>
        <v>3</v>
      </c>
      <c r="Q28" s="66">
        <f t="shared" si="15"/>
        <v>2</v>
      </c>
      <c r="R28" s="66">
        <f t="shared" si="15"/>
        <v>4</v>
      </c>
      <c r="S28" s="66">
        <f t="shared" si="15"/>
        <v>2</v>
      </c>
      <c r="T28" s="66">
        <f t="shared" si="15"/>
        <v>5</v>
      </c>
      <c r="U28" s="66">
        <f t="shared" si="15"/>
        <v>6</v>
      </c>
      <c r="V28" s="67">
        <f t="shared" si="15"/>
        <v>7</v>
      </c>
      <c r="W28" s="21"/>
      <c r="X28" s="56">
        <f t="shared" si="12"/>
        <v>44</v>
      </c>
      <c r="Y28" s="56">
        <f t="shared" si="13"/>
        <v>39</v>
      </c>
      <c r="Z28" s="57">
        <f t="shared" si="14"/>
        <v>83</v>
      </c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>
      <c r="A29" s="21" t="str">
        <f>K5</f>
        <v>Vince</v>
      </c>
      <c r="B29" s="64">
        <f>VLOOKUP(A29, Information!$B$22:$G$37, 3, FALSE)</f>
        <v>17.7</v>
      </c>
      <c r="C29" s="52"/>
      <c r="D29" s="5" t="str">
        <f t="shared" si="3"/>
        <v>Juan</v>
      </c>
      <c r="E29" s="66">
        <f t="shared" ref="E29:V29" si="16">ROUNDUP(RANDBETWEEN(2,9))</f>
        <v>8</v>
      </c>
      <c r="F29" s="66">
        <f t="shared" si="16"/>
        <v>4</v>
      </c>
      <c r="G29" s="66">
        <f t="shared" si="16"/>
        <v>4</v>
      </c>
      <c r="H29" s="66">
        <f t="shared" si="16"/>
        <v>6</v>
      </c>
      <c r="I29" s="66">
        <f t="shared" si="16"/>
        <v>8</v>
      </c>
      <c r="J29" s="66">
        <f t="shared" si="16"/>
        <v>9</v>
      </c>
      <c r="K29" s="66">
        <f t="shared" si="16"/>
        <v>8</v>
      </c>
      <c r="L29" s="66">
        <f t="shared" si="16"/>
        <v>8</v>
      </c>
      <c r="M29" s="67">
        <f t="shared" si="16"/>
        <v>5</v>
      </c>
      <c r="N29" s="68">
        <f t="shared" si="16"/>
        <v>5</v>
      </c>
      <c r="O29" s="66">
        <f t="shared" si="16"/>
        <v>7</v>
      </c>
      <c r="P29" s="66">
        <f t="shared" si="16"/>
        <v>6</v>
      </c>
      <c r="Q29" s="66">
        <f t="shared" si="16"/>
        <v>9</v>
      </c>
      <c r="R29" s="66">
        <f t="shared" si="16"/>
        <v>4</v>
      </c>
      <c r="S29" s="66">
        <f t="shared" si="16"/>
        <v>9</v>
      </c>
      <c r="T29" s="66">
        <f t="shared" si="16"/>
        <v>9</v>
      </c>
      <c r="U29" s="66">
        <f t="shared" si="16"/>
        <v>3</v>
      </c>
      <c r="V29" s="67">
        <f t="shared" si="16"/>
        <v>5</v>
      </c>
      <c r="W29" s="21"/>
      <c r="X29" s="56">
        <f t="shared" si="12"/>
        <v>60</v>
      </c>
      <c r="Y29" s="56">
        <f t="shared" si="13"/>
        <v>57</v>
      </c>
      <c r="Z29" s="57">
        <f t="shared" si="14"/>
        <v>117</v>
      </c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>
      <c r="A30" s="21"/>
      <c r="B30" s="64"/>
      <c r="C30" s="58"/>
      <c r="D30" s="5" t="str">
        <f t="shared" si="3"/>
        <v/>
      </c>
      <c r="E30" s="59"/>
      <c r="F30" s="59"/>
      <c r="G30" s="59"/>
      <c r="H30" s="59"/>
      <c r="I30" s="59"/>
      <c r="J30" s="59"/>
      <c r="K30" s="59"/>
      <c r="L30" s="59"/>
      <c r="M30" s="60"/>
      <c r="N30" s="61"/>
      <c r="O30" s="59"/>
      <c r="P30" s="59"/>
      <c r="Q30" s="59"/>
      <c r="R30" s="59"/>
      <c r="S30" s="59"/>
      <c r="T30" s="59"/>
      <c r="U30" s="59"/>
      <c r="V30" s="60"/>
      <c r="W30" s="21"/>
      <c r="X30" s="62"/>
      <c r="Y30" s="62"/>
      <c r="Z30" s="63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>
      <c r="A31" s="21" t="str">
        <f>M3</f>
        <v>Kyle</v>
      </c>
      <c r="B31" s="64">
        <f>VLOOKUP(A31, Information!$B$22:$G$37, 3, FALSE)</f>
        <v>10.4</v>
      </c>
      <c r="C31" s="65" t="s">
        <v>56</v>
      </c>
      <c r="D31" s="5" t="str">
        <f t="shared" si="3"/>
        <v>Dan</v>
      </c>
      <c r="E31" s="69">
        <v>4.0</v>
      </c>
      <c r="F31" s="69">
        <v>3.0</v>
      </c>
      <c r="G31" s="69">
        <v>3.0</v>
      </c>
      <c r="H31" s="69">
        <v>5.0</v>
      </c>
      <c r="I31" s="69">
        <v>4.0</v>
      </c>
      <c r="J31" s="69">
        <v>5.0</v>
      </c>
      <c r="K31" s="69">
        <v>3.0</v>
      </c>
      <c r="L31" s="69">
        <v>4.0</v>
      </c>
      <c r="M31" s="70">
        <v>5.0</v>
      </c>
      <c r="N31" s="71">
        <v>4.0</v>
      </c>
      <c r="O31" s="69">
        <v>3.0</v>
      </c>
      <c r="P31" s="69">
        <v>4.0</v>
      </c>
      <c r="Q31" s="69">
        <v>5.0</v>
      </c>
      <c r="R31" s="69">
        <v>3.0</v>
      </c>
      <c r="S31" s="69">
        <v>5.0</v>
      </c>
      <c r="T31" s="69">
        <v>6.0</v>
      </c>
      <c r="U31" s="69">
        <v>3.0</v>
      </c>
      <c r="V31" s="70">
        <v>5.0</v>
      </c>
      <c r="W31" s="21"/>
      <c r="X31" s="56">
        <f t="shared" ref="X31:X34" si="17">SUM(E31:M31)</f>
        <v>36</v>
      </c>
      <c r="Y31" s="56">
        <f t="shared" ref="Y31:Y34" si="18">SUM(N31:V31)</f>
        <v>38</v>
      </c>
      <c r="Z31" s="57">
        <f t="shared" ref="Z31:Z34" si="19">sum(X31,Y31)</f>
        <v>74</v>
      </c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>
      <c r="A32" s="21" t="str">
        <f>M5</f>
        <v>James</v>
      </c>
      <c r="B32" s="64">
        <f>VLOOKUP(A32, Information!$B$22:$G$37, 3, FALSE)</f>
        <v>16</v>
      </c>
      <c r="C32" s="52"/>
      <c r="D32" s="5" t="str">
        <f t="shared" si="3"/>
        <v>Jon</v>
      </c>
      <c r="E32" s="69">
        <v>4.0</v>
      </c>
      <c r="F32" s="69">
        <v>6.0</v>
      </c>
      <c r="G32" s="69">
        <v>5.0</v>
      </c>
      <c r="H32" s="69">
        <v>7.0</v>
      </c>
      <c r="I32" s="69">
        <v>6.0</v>
      </c>
      <c r="J32" s="69">
        <v>6.0</v>
      </c>
      <c r="K32" s="69">
        <v>4.0</v>
      </c>
      <c r="L32" s="69">
        <v>4.0</v>
      </c>
      <c r="M32" s="70">
        <v>5.0</v>
      </c>
      <c r="N32" s="71">
        <v>5.0</v>
      </c>
      <c r="O32" s="69">
        <v>4.0</v>
      </c>
      <c r="P32" s="69">
        <v>5.0</v>
      </c>
      <c r="Q32" s="69">
        <v>8.0</v>
      </c>
      <c r="R32" s="69">
        <v>4.0</v>
      </c>
      <c r="S32" s="69">
        <v>6.0</v>
      </c>
      <c r="T32" s="69">
        <v>6.0</v>
      </c>
      <c r="U32" s="69">
        <v>3.0</v>
      </c>
      <c r="V32" s="70">
        <v>6.0</v>
      </c>
      <c r="W32" s="21"/>
      <c r="X32" s="56">
        <f t="shared" si="17"/>
        <v>47</v>
      </c>
      <c r="Y32" s="56">
        <f t="shared" si="18"/>
        <v>47</v>
      </c>
      <c r="Z32" s="57">
        <f t="shared" si="19"/>
        <v>94</v>
      </c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>
      <c r="A33" s="21" t="str">
        <f>O3</f>
        <v>Dillon</v>
      </c>
      <c r="B33" s="64">
        <f>VLOOKUP(A33, Information!$B$22:$G$37, 3, FALSE)</f>
        <v>16.6</v>
      </c>
      <c r="C33" s="52"/>
      <c r="D33" s="5" t="str">
        <f t="shared" si="3"/>
        <v>JoePa</v>
      </c>
      <c r="E33" s="69">
        <v>4.0</v>
      </c>
      <c r="F33" s="69">
        <v>4.0</v>
      </c>
      <c r="G33" s="69">
        <v>4.0</v>
      </c>
      <c r="H33" s="69">
        <v>5.0</v>
      </c>
      <c r="I33" s="69">
        <v>5.0</v>
      </c>
      <c r="J33" s="69">
        <v>6.0</v>
      </c>
      <c r="K33" s="69">
        <v>4.0</v>
      </c>
      <c r="L33" s="69">
        <v>4.0</v>
      </c>
      <c r="M33" s="70">
        <v>7.0</v>
      </c>
      <c r="N33" s="71">
        <v>5.0</v>
      </c>
      <c r="O33" s="69">
        <v>5.0</v>
      </c>
      <c r="P33" s="69">
        <v>4.0</v>
      </c>
      <c r="Q33" s="69">
        <v>6.0</v>
      </c>
      <c r="R33" s="69">
        <v>4.0</v>
      </c>
      <c r="S33" s="69">
        <v>5.0</v>
      </c>
      <c r="T33" s="69">
        <v>6.0</v>
      </c>
      <c r="U33" s="69">
        <v>4.0</v>
      </c>
      <c r="V33" s="70">
        <v>5.0</v>
      </c>
      <c r="W33" s="21"/>
      <c r="X33" s="56">
        <f t="shared" si="17"/>
        <v>43</v>
      </c>
      <c r="Y33" s="56">
        <f t="shared" si="18"/>
        <v>44</v>
      </c>
      <c r="Z33" s="57">
        <f t="shared" si="19"/>
        <v>87</v>
      </c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>
      <c r="A34" s="21" t="str">
        <f>O5</f>
        <v>Juan</v>
      </c>
      <c r="B34" s="64">
        <f>VLOOKUP(A34, Information!$B$22:$G$37, 3, FALSE)</f>
        <v>15.2</v>
      </c>
      <c r="C34" s="72"/>
      <c r="D34" s="73" t="str">
        <f t="shared" si="3"/>
        <v>Corey</v>
      </c>
      <c r="E34" s="74">
        <v>4.0</v>
      </c>
      <c r="F34" s="74">
        <v>4.0</v>
      </c>
      <c r="G34" s="74">
        <v>7.0</v>
      </c>
      <c r="H34" s="74">
        <v>6.0</v>
      </c>
      <c r="I34" s="74">
        <v>5.0</v>
      </c>
      <c r="J34" s="74">
        <v>6.0</v>
      </c>
      <c r="K34" s="74">
        <v>3.0</v>
      </c>
      <c r="L34" s="74">
        <v>6.0</v>
      </c>
      <c r="M34" s="75">
        <v>5.0</v>
      </c>
      <c r="N34" s="76">
        <v>5.0</v>
      </c>
      <c r="O34" s="74">
        <v>4.0</v>
      </c>
      <c r="P34" s="74">
        <v>5.0</v>
      </c>
      <c r="Q34" s="74">
        <v>5.0</v>
      </c>
      <c r="R34" s="74">
        <v>3.0</v>
      </c>
      <c r="S34" s="74">
        <v>4.0</v>
      </c>
      <c r="T34" s="74">
        <v>6.0</v>
      </c>
      <c r="U34" s="74">
        <v>3.0</v>
      </c>
      <c r="V34" s="75">
        <v>5.0</v>
      </c>
      <c r="W34" s="21"/>
      <c r="X34" s="77">
        <f t="shared" si="17"/>
        <v>46</v>
      </c>
      <c r="Y34" s="77">
        <f t="shared" si="18"/>
        <v>40</v>
      </c>
      <c r="Z34" s="78">
        <f t="shared" si="19"/>
        <v>86</v>
      </c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>
      <c r="A35" s="21"/>
      <c r="B35" s="64"/>
      <c r="M35" s="27"/>
      <c r="N35" s="26"/>
      <c r="W35" s="21"/>
      <c r="X35" s="21"/>
      <c r="Y35" s="21"/>
    </row>
    <row r="36">
      <c r="A36" s="21" t="str">
        <f>Q3</f>
        <v>Dan</v>
      </c>
      <c r="B36" s="64">
        <f>VLOOKUP(A36, Information!$B$22:$G$37, 3, FALSE)</f>
        <v>7.8</v>
      </c>
      <c r="C36" s="79" t="s">
        <v>57</v>
      </c>
      <c r="D36" s="46" t="str">
        <f t="shared" ref="D36:D54" si="21">D16</f>
        <v>Cole</v>
      </c>
      <c r="E36" s="19">
        <f t="shared" ref="E36:V36" si="20">IF(VLOOKUP($D36,$A$4:$B$19,2,FALSE)&gt;=E$13,1,0)</f>
        <v>0</v>
      </c>
      <c r="F36" s="19">
        <f t="shared" si="20"/>
        <v>0</v>
      </c>
      <c r="G36" s="19">
        <f t="shared" si="20"/>
        <v>1</v>
      </c>
      <c r="H36" s="19">
        <f t="shared" si="20"/>
        <v>1</v>
      </c>
      <c r="I36" s="19">
        <f t="shared" si="20"/>
        <v>1</v>
      </c>
      <c r="J36" s="19">
        <f t="shared" si="20"/>
        <v>1</v>
      </c>
      <c r="K36" s="19">
        <f t="shared" si="20"/>
        <v>0</v>
      </c>
      <c r="L36" s="19">
        <f t="shared" si="20"/>
        <v>1</v>
      </c>
      <c r="M36" s="80">
        <f t="shared" si="20"/>
        <v>1</v>
      </c>
      <c r="N36" s="81">
        <f t="shared" si="20"/>
        <v>1</v>
      </c>
      <c r="O36" s="19">
        <f t="shared" si="20"/>
        <v>0</v>
      </c>
      <c r="P36" s="19">
        <f t="shared" si="20"/>
        <v>1</v>
      </c>
      <c r="Q36" s="19">
        <f t="shared" si="20"/>
        <v>1</v>
      </c>
      <c r="R36" s="19">
        <f t="shared" si="20"/>
        <v>0</v>
      </c>
      <c r="S36" s="19">
        <f t="shared" si="20"/>
        <v>1</v>
      </c>
      <c r="T36" s="19">
        <f t="shared" si="20"/>
        <v>1</v>
      </c>
      <c r="U36" s="19">
        <f t="shared" si="20"/>
        <v>0</v>
      </c>
      <c r="V36" s="80">
        <f t="shared" si="20"/>
        <v>1</v>
      </c>
      <c r="W36" s="21"/>
      <c r="X36" s="82">
        <f t="shared" ref="X36:X39" si="23">SUM(E36:M36)</f>
        <v>6</v>
      </c>
      <c r="Y36" s="82">
        <f t="shared" ref="Y36:Y39" si="24">SUM(N36:V36)</f>
        <v>6</v>
      </c>
      <c r="Z36" s="83">
        <f t="shared" ref="Z36:Z39" si="25">sum(X36,Y36)</f>
        <v>12</v>
      </c>
    </row>
    <row r="37">
      <c r="A37" s="21" t="str">
        <f>Q5</f>
        <v>Jon</v>
      </c>
      <c r="B37" s="64">
        <f>VLOOKUP(A37, Information!$B$22:$G$37, 3, FALSE)</f>
        <v>21.9</v>
      </c>
      <c r="C37" s="52"/>
      <c r="D37" s="5" t="str">
        <f t="shared" si="21"/>
        <v>Tovey</v>
      </c>
      <c r="E37" s="84">
        <f t="shared" ref="E37:V37" si="22">IF(VLOOKUP($D37,$A$4:$B$19,2,FALSE)&gt;=E$13,1,0)</f>
        <v>1</v>
      </c>
      <c r="F37" s="84">
        <f t="shared" si="22"/>
        <v>0</v>
      </c>
      <c r="G37" s="84">
        <f t="shared" si="22"/>
        <v>1</v>
      </c>
      <c r="H37" s="84">
        <f t="shared" si="22"/>
        <v>1</v>
      </c>
      <c r="I37" s="84">
        <f t="shared" si="22"/>
        <v>1</v>
      </c>
      <c r="J37" s="84">
        <f t="shared" si="22"/>
        <v>1</v>
      </c>
      <c r="K37" s="84">
        <f t="shared" si="22"/>
        <v>0</v>
      </c>
      <c r="L37" s="84">
        <f t="shared" si="22"/>
        <v>1</v>
      </c>
      <c r="M37" s="27">
        <f t="shared" si="22"/>
        <v>1</v>
      </c>
      <c r="N37" s="26">
        <f t="shared" si="22"/>
        <v>1</v>
      </c>
      <c r="O37" s="84">
        <f t="shared" si="22"/>
        <v>0</v>
      </c>
      <c r="P37" s="84">
        <f t="shared" si="22"/>
        <v>1</v>
      </c>
      <c r="Q37" s="84">
        <f t="shared" si="22"/>
        <v>1</v>
      </c>
      <c r="R37" s="84">
        <f t="shared" si="22"/>
        <v>0</v>
      </c>
      <c r="S37" s="84">
        <f t="shared" si="22"/>
        <v>1</v>
      </c>
      <c r="T37" s="84">
        <f t="shared" si="22"/>
        <v>1</v>
      </c>
      <c r="U37" s="84">
        <f t="shared" si="22"/>
        <v>1</v>
      </c>
      <c r="V37" s="27">
        <f t="shared" si="22"/>
        <v>1</v>
      </c>
      <c r="W37" s="21"/>
      <c r="X37" s="62">
        <f t="shared" si="23"/>
        <v>7</v>
      </c>
      <c r="Y37" s="62">
        <f t="shared" si="24"/>
        <v>7</v>
      </c>
      <c r="Z37" s="63">
        <f t="shared" si="25"/>
        <v>14</v>
      </c>
    </row>
    <row r="38">
      <c r="A38" s="21" t="str">
        <f>S3</f>
        <v>JoePa</v>
      </c>
      <c r="B38" s="64">
        <f>VLOOKUP(A38, Information!$B$22:$G$37, 3, FALSE)</f>
        <v>10.3</v>
      </c>
      <c r="C38" s="52"/>
      <c r="D38" s="5" t="str">
        <f t="shared" si="21"/>
        <v>Connor</v>
      </c>
      <c r="E38" s="84">
        <f t="shared" ref="E38:V38" si="26">IF(VLOOKUP($D38,$A$4:$B$19,2,FALSE)&gt;=E$13,1,0)</f>
        <v>1</v>
      </c>
      <c r="F38" s="84">
        <f t="shared" si="26"/>
        <v>1</v>
      </c>
      <c r="G38" s="84">
        <f t="shared" si="26"/>
        <v>1</v>
      </c>
      <c r="H38" s="84">
        <f t="shared" si="26"/>
        <v>1</v>
      </c>
      <c r="I38" s="84">
        <f t="shared" si="26"/>
        <v>1</v>
      </c>
      <c r="J38" s="84">
        <f t="shared" si="26"/>
        <v>1</v>
      </c>
      <c r="K38" s="84">
        <f t="shared" si="26"/>
        <v>0</v>
      </c>
      <c r="L38" s="84">
        <f t="shared" si="26"/>
        <v>1</v>
      </c>
      <c r="M38" s="27">
        <f t="shared" si="26"/>
        <v>1</v>
      </c>
      <c r="N38" s="26">
        <f t="shared" si="26"/>
        <v>1</v>
      </c>
      <c r="O38" s="84">
        <f t="shared" si="26"/>
        <v>1</v>
      </c>
      <c r="P38" s="84">
        <f t="shared" si="26"/>
        <v>1</v>
      </c>
      <c r="Q38" s="84">
        <f t="shared" si="26"/>
        <v>1</v>
      </c>
      <c r="R38" s="84">
        <f t="shared" si="26"/>
        <v>0</v>
      </c>
      <c r="S38" s="84">
        <f t="shared" si="26"/>
        <v>1</v>
      </c>
      <c r="T38" s="84">
        <f t="shared" si="26"/>
        <v>1</v>
      </c>
      <c r="U38" s="84">
        <f t="shared" si="26"/>
        <v>1</v>
      </c>
      <c r="V38" s="27">
        <f t="shared" si="26"/>
        <v>1</v>
      </c>
      <c r="W38" s="21"/>
      <c r="X38" s="62">
        <f t="shared" si="23"/>
        <v>8</v>
      </c>
      <c r="Y38" s="62">
        <f t="shared" si="24"/>
        <v>8</v>
      </c>
      <c r="Z38" s="63">
        <f t="shared" si="25"/>
        <v>16</v>
      </c>
    </row>
    <row r="39">
      <c r="A39" s="84" t="str">
        <f>S5</f>
        <v>Corey</v>
      </c>
      <c r="B39" s="64">
        <f>VLOOKUP(A39, Information!$B$22:$G$37, 3, FALSE)</f>
        <v>12</v>
      </c>
      <c r="C39" s="52"/>
      <c r="D39" s="5" t="str">
        <f t="shared" si="21"/>
        <v>Andy</v>
      </c>
      <c r="E39" s="84">
        <f t="shared" ref="E39:V39" si="27">IF(VLOOKUP($D39,$A$4:$B$19,2,FALSE)&gt;=E$13,1,0)</f>
        <v>0</v>
      </c>
      <c r="F39" s="84">
        <f t="shared" si="27"/>
        <v>0</v>
      </c>
      <c r="G39" s="84">
        <f t="shared" si="27"/>
        <v>1</v>
      </c>
      <c r="H39" s="84">
        <f t="shared" si="27"/>
        <v>1</v>
      </c>
      <c r="I39" s="84">
        <f t="shared" si="27"/>
        <v>1</v>
      </c>
      <c r="J39" s="84">
        <f t="shared" si="27"/>
        <v>1</v>
      </c>
      <c r="K39" s="84">
        <f t="shared" si="27"/>
        <v>0</v>
      </c>
      <c r="L39" s="84">
        <f t="shared" si="27"/>
        <v>0</v>
      </c>
      <c r="M39" s="27">
        <f t="shared" si="27"/>
        <v>1</v>
      </c>
      <c r="N39" s="26">
        <f t="shared" si="27"/>
        <v>1</v>
      </c>
      <c r="O39" s="84">
        <f t="shared" si="27"/>
        <v>0</v>
      </c>
      <c r="P39" s="84">
        <f t="shared" si="27"/>
        <v>1</v>
      </c>
      <c r="Q39" s="84">
        <f t="shared" si="27"/>
        <v>1</v>
      </c>
      <c r="R39" s="84">
        <f t="shared" si="27"/>
        <v>0</v>
      </c>
      <c r="S39" s="84">
        <f t="shared" si="27"/>
        <v>0</v>
      </c>
      <c r="T39" s="84">
        <f t="shared" si="27"/>
        <v>0</v>
      </c>
      <c r="U39" s="84">
        <f t="shared" si="27"/>
        <v>0</v>
      </c>
      <c r="V39" s="27">
        <f t="shared" si="27"/>
        <v>1</v>
      </c>
      <c r="W39" s="21"/>
      <c r="X39" s="62">
        <f t="shared" si="23"/>
        <v>5</v>
      </c>
      <c r="Y39" s="62">
        <f t="shared" si="24"/>
        <v>4</v>
      </c>
      <c r="Z39" s="63">
        <f t="shared" si="25"/>
        <v>9</v>
      </c>
    </row>
    <row r="40">
      <c r="C40" s="58"/>
      <c r="D40" s="5" t="str">
        <f t="shared" si="21"/>
        <v/>
      </c>
      <c r="M40" s="27"/>
      <c r="N40" s="26"/>
      <c r="V40" s="27"/>
      <c r="W40" s="21"/>
      <c r="X40" s="62"/>
      <c r="Y40" s="62"/>
      <c r="Z40" s="63"/>
    </row>
    <row r="41">
      <c r="A41" s="64"/>
      <c r="B41" s="64"/>
      <c r="C41" s="85" t="s">
        <v>57</v>
      </c>
      <c r="D41" s="5" t="str">
        <f t="shared" si="21"/>
        <v>Brett</v>
      </c>
      <c r="E41" s="84">
        <f t="shared" ref="E41:V41" si="28">IF(VLOOKUP($D41,$A$4:$B$19,2,FALSE)&gt;=E$13,1,0)</f>
        <v>0</v>
      </c>
      <c r="F41" s="84">
        <f t="shared" si="28"/>
        <v>0</v>
      </c>
      <c r="G41" s="84">
        <f t="shared" si="28"/>
        <v>1</v>
      </c>
      <c r="H41" s="84">
        <f t="shared" si="28"/>
        <v>1</v>
      </c>
      <c r="I41" s="84">
        <f t="shared" si="28"/>
        <v>1</v>
      </c>
      <c r="J41" s="84">
        <f t="shared" si="28"/>
        <v>1</v>
      </c>
      <c r="K41" s="84">
        <f t="shared" si="28"/>
        <v>0</v>
      </c>
      <c r="L41" s="84">
        <f t="shared" si="28"/>
        <v>1</v>
      </c>
      <c r="M41" s="27">
        <f t="shared" si="28"/>
        <v>1</v>
      </c>
      <c r="N41" s="26">
        <f t="shared" si="28"/>
        <v>1</v>
      </c>
      <c r="O41" s="84">
        <f t="shared" si="28"/>
        <v>0</v>
      </c>
      <c r="P41" s="84">
        <f t="shared" si="28"/>
        <v>1</v>
      </c>
      <c r="Q41" s="84">
        <f t="shared" si="28"/>
        <v>1</v>
      </c>
      <c r="R41" s="84">
        <f t="shared" si="28"/>
        <v>0</v>
      </c>
      <c r="S41" s="84">
        <f t="shared" si="28"/>
        <v>1</v>
      </c>
      <c r="T41" s="84">
        <f t="shared" si="28"/>
        <v>1</v>
      </c>
      <c r="U41" s="84">
        <f t="shared" si="28"/>
        <v>0</v>
      </c>
      <c r="V41" s="27">
        <f t="shared" si="28"/>
        <v>1</v>
      </c>
      <c r="W41" s="21"/>
      <c r="X41" s="62">
        <f t="shared" ref="X41:X44" si="30">SUM(E41:M41)</f>
        <v>6</v>
      </c>
      <c r="Y41" s="62">
        <f t="shared" ref="Y41:Y44" si="31">SUM(N41:V41)</f>
        <v>6</v>
      </c>
      <c r="Z41" s="63">
        <f t="shared" ref="Z41:Z44" si="32">sum(X41,Y41)</f>
        <v>12</v>
      </c>
    </row>
    <row r="42">
      <c r="A42" s="64"/>
      <c r="B42" s="64"/>
      <c r="C42" s="52"/>
      <c r="D42" s="5" t="str">
        <f t="shared" si="21"/>
        <v>Matt</v>
      </c>
      <c r="E42" s="84">
        <f t="shared" ref="E42:V42" si="29">IF(VLOOKUP($D42,$A$4:$B$19,2,FALSE)&gt;=E$13,1,0)</f>
        <v>1</v>
      </c>
      <c r="F42" s="84">
        <f t="shared" si="29"/>
        <v>1</v>
      </c>
      <c r="G42" s="84">
        <f t="shared" si="29"/>
        <v>1</v>
      </c>
      <c r="H42" s="84">
        <f t="shared" si="29"/>
        <v>1</v>
      </c>
      <c r="I42" s="84">
        <f t="shared" si="29"/>
        <v>1</v>
      </c>
      <c r="J42" s="84">
        <f t="shared" si="29"/>
        <v>1</v>
      </c>
      <c r="K42" s="84">
        <f t="shared" si="29"/>
        <v>1</v>
      </c>
      <c r="L42" s="84">
        <f t="shared" si="29"/>
        <v>1</v>
      </c>
      <c r="M42" s="27">
        <f t="shared" si="29"/>
        <v>1</v>
      </c>
      <c r="N42" s="26">
        <f t="shared" si="29"/>
        <v>1</v>
      </c>
      <c r="O42" s="84">
        <f t="shared" si="29"/>
        <v>1</v>
      </c>
      <c r="P42" s="84">
        <f t="shared" si="29"/>
        <v>1</v>
      </c>
      <c r="Q42" s="84">
        <f t="shared" si="29"/>
        <v>1</v>
      </c>
      <c r="R42" s="84">
        <f t="shared" si="29"/>
        <v>1</v>
      </c>
      <c r="S42" s="84">
        <f t="shared" si="29"/>
        <v>1</v>
      </c>
      <c r="T42" s="84">
        <f t="shared" si="29"/>
        <v>1</v>
      </c>
      <c r="U42" s="84">
        <f t="shared" si="29"/>
        <v>1</v>
      </c>
      <c r="V42" s="27">
        <f t="shared" si="29"/>
        <v>1</v>
      </c>
      <c r="W42" s="21"/>
      <c r="X42" s="62">
        <f t="shared" si="30"/>
        <v>9</v>
      </c>
      <c r="Y42" s="62">
        <f t="shared" si="31"/>
        <v>9</v>
      </c>
      <c r="Z42" s="63">
        <f t="shared" si="32"/>
        <v>18</v>
      </c>
    </row>
    <row r="43">
      <c r="A43" s="64"/>
      <c r="B43" s="64"/>
      <c r="C43" s="52"/>
      <c r="D43" s="5" t="str">
        <f t="shared" si="21"/>
        <v>Bud</v>
      </c>
      <c r="E43" s="84">
        <f t="shared" ref="E43:V43" si="33">IF(VLOOKUP($D43,$A$4:$B$19,2,FALSE)&gt;=E$13,1,0)</f>
        <v>1</v>
      </c>
      <c r="F43" s="84">
        <f t="shared" si="33"/>
        <v>1</v>
      </c>
      <c r="G43" s="84">
        <f t="shared" si="33"/>
        <v>1</v>
      </c>
      <c r="H43" s="84">
        <f t="shared" si="33"/>
        <v>1</v>
      </c>
      <c r="I43" s="84">
        <f t="shared" si="33"/>
        <v>1</v>
      </c>
      <c r="J43" s="84">
        <f t="shared" si="33"/>
        <v>1</v>
      </c>
      <c r="K43" s="84">
        <f t="shared" si="33"/>
        <v>1</v>
      </c>
      <c r="L43" s="84">
        <f t="shared" si="33"/>
        <v>1</v>
      </c>
      <c r="M43" s="27">
        <f t="shared" si="33"/>
        <v>1</v>
      </c>
      <c r="N43" s="26">
        <f t="shared" si="33"/>
        <v>1</v>
      </c>
      <c r="O43" s="84">
        <f t="shared" si="33"/>
        <v>1</v>
      </c>
      <c r="P43" s="84">
        <f t="shared" si="33"/>
        <v>1</v>
      </c>
      <c r="Q43" s="84">
        <f t="shared" si="33"/>
        <v>1</v>
      </c>
      <c r="R43" s="84">
        <f t="shared" si="33"/>
        <v>1</v>
      </c>
      <c r="S43" s="84">
        <f t="shared" si="33"/>
        <v>1</v>
      </c>
      <c r="T43" s="84">
        <f t="shared" si="33"/>
        <v>1</v>
      </c>
      <c r="U43" s="84">
        <f t="shared" si="33"/>
        <v>1</v>
      </c>
      <c r="V43" s="27">
        <f t="shared" si="33"/>
        <v>1</v>
      </c>
      <c r="W43" s="21"/>
      <c r="X43" s="62">
        <f t="shared" si="30"/>
        <v>9</v>
      </c>
      <c r="Y43" s="62">
        <f t="shared" si="31"/>
        <v>9</v>
      </c>
      <c r="Z43" s="63">
        <f t="shared" si="32"/>
        <v>18</v>
      </c>
    </row>
    <row r="44">
      <c r="A44" s="64"/>
      <c r="B44" s="64"/>
      <c r="C44" s="52"/>
      <c r="D44" s="5" t="str">
        <f t="shared" si="21"/>
        <v>Vince</v>
      </c>
      <c r="E44" s="84">
        <f t="shared" ref="E44:V44" si="34">IF(VLOOKUP($D44,$A$4:$B$19,2,FALSE)&gt;=E$13,1,0)</f>
        <v>1</v>
      </c>
      <c r="F44" s="84">
        <f t="shared" si="34"/>
        <v>1</v>
      </c>
      <c r="G44" s="84">
        <f t="shared" si="34"/>
        <v>1</v>
      </c>
      <c r="H44" s="84">
        <f t="shared" si="34"/>
        <v>1</v>
      </c>
      <c r="I44" s="84">
        <f t="shared" si="34"/>
        <v>1</v>
      </c>
      <c r="J44" s="84">
        <f t="shared" si="34"/>
        <v>1</v>
      </c>
      <c r="K44" s="84">
        <f t="shared" si="34"/>
        <v>1</v>
      </c>
      <c r="L44" s="84">
        <f t="shared" si="34"/>
        <v>1</v>
      </c>
      <c r="M44" s="27">
        <f t="shared" si="34"/>
        <v>1</v>
      </c>
      <c r="N44" s="26">
        <f t="shared" si="34"/>
        <v>1</v>
      </c>
      <c r="O44" s="84">
        <f t="shared" si="34"/>
        <v>1</v>
      </c>
      <c r="P44" s="84">
        <f t="shared" si="34"/>
        <v>1</v>
      </c>
      <c r="Q44" s="84">
        <f t="shared" si="34"/>
        <v>1</v>
      </c>
      <c r="R44" s="84">
        <f t="shared" si="34"/>
        <v>0</v>
      </c>
      <c r="S44" s="84">
        <f t="shared" si="34"/>
        <v>1</v>
      </c>
      <c r="T44" s="84">
        <f t="shared" si="34"/>
        <v>1</v>
      </c>
      <c r="U44" s="84">
        <f t="shared" si="34"/>
        <v>1</v>
      </c>
      <c r="V44" s="27">
        <f t="shared" si="34"/>
        <v>1</v>
      </c>
      <c r="W44" s="21"/>
      <c r="X44" s="62">
        <f t="shared" si="30"/>
        <v>9</v>
      </c>
      <c r="Y44" s="62">
        <f t="shared" si="31"/>
        <v>8</v>
      </c>
      <c r="Z44" s="63">
        <f t="shared" si="32"/>
        <v>17</v>
      </c>
    </row>
    <row r="45">
      <c r="A45" s="5"/>
      <c r="B45" s="5"/>
      <c r="C45" s="58"/>
      <c r="D45" s="5" t="str">
        <f t="shared" si="21"/>
        <v/>
      </c>
      <c r="M45" s="27"/>
      <c r="N45" s="26"/>
      <c r="V45" s="27"/>
      <c r="W45" s="21"/>
      <c r="X45" s="62"/>
      <c r="Y45" s="62"/>
      <c r="Z45" s="63"/>
    </row>
    <row r="46">
      <c r="A46" s="64"/>
      <c r="B46" s="64"/>
      <c r="C46" s="85" t="s">
        <v>57</v>
      </c>
      <c r="D46" s="5" t="str">
        <f t="shared" si="21"/>
        <v>Kyle</v>
      </c>
      <c r="E46" s="84">
        <f t="shared" ref="E46:V46" si="35">IF(VLOOKUP($D46,$A$4:$B$19,2,FALSE)&gt;=E$13,1,0)</f>
        <v>0</v>
      </c>
      <c r="F46" s="84">
        <f t="shared" si="35"/>
        <v>0</v>
      </c>
      <c r="G46" s="84">
        <f t="shared" si="35"/>
        <v>1</v>
      </c>
      <c r="H46" s="84">
        <f t="shared" si="35"/>
        <v>1</v>
      </c>
      <c r="I46" s="84">
        <f t="shared" si="35"/>
        <v>1</v>
      </c>
      <c r="J46" s="84">
        <f t="shared" si="35"/>
        <v>1</v>
      </c>
      <c r="K46" s="84">
        <f t="shared" si="35"/>
        <v>0</v>
      </c>
      <c r="L46" s="84">
        <f t="shared" si="35"/>
        <v>0</v>
      </c>
      <c r="M46" s="27">
        <f t="shared" si="35"/>
        <v>1</v>
      </c>
      <c r="N46" s="26">
        <f t="shared" si="35"/>
        <v>1</v>
      </c>
      <c r="O46" s="84">
        <f t="shared" si="35"/>
        <v>0</v>
      </c>
      <c r="P46" s="84">
        <f t="shared" si="35"/>
        <v>1</v>
      </c>
      <c r="Q46" s="84">
        <f t="shared" si="35"/>
        <v>1</v>
      </c>
      <c r="R46" s="84">
        <f t="shared" si="35"/>
        <v>0</v>
      </c>
      <c r="S46" s="84">
        <f t="shared" si="35"/>
        <v>0</v>
      </c>
      <c r="T46" s="84">
        <f t="shared" si="35"/>
        <v>1</v>
      </c>
      <c r="U46" s="84">
        <f t="shared" si="35"/>
        <v>0</v>
      </c>
      <c r="V46" s="27">
        <f t="shared" si="35"/>
        <v>1</v>
      </c>
      <c r="W46" s="21"/>
      <c r="X46" s="62">
        <f t="shared" ref="X46:X49" si="37">SUM(E46:M46)</f>
        <v>5</v>
      </c>
      <c r="Y46" s="62">
        <f t="shared" ref="Y46:Y49" si="38">SUM(N46:V46)</f>
        <v>5</v>
      </c>
      <c r="Z46" s="63">
        <f t="shared" ref="Z46:Z49" si="39">sum(X46,Y46)</f>
        <v>10</v>
      </c>
    </row>
    <row r="47">
      <c r="A47" s="64"/>
      <c r="B47" s="64"/>
      <c r="C47" s="52"/>
      <c r="D47" s="5" t="str">
        <f t="shared" si="21"/>
        <v>James</v>
      </c>
      <c r="E47" s="84">
        <f t="shared" ref="E47:V47" si="36">IF(VLOOKUP($D47,$A$4:$B$19,2,FALSE)&gt;=E$13,1,0)</f>
        <v>1</v>
      </c>
      <c r="F47" s="84">
        <f t="shared" si="36"/>
        <v>1</v>
      </c>
      <c r="G47" s="84">
        <f t="shared" si="36"/>
        <v>1</v>
      </c>
      <c r="H47" s="84">
        <f t="shared" si="36"/>
        <v>1</v>
      </c>
      <c r="I47" s="84">
        <f t="shared" si="36"/>
        <v>1</v>
      </c>
      <c r="J47" s="84">
        <f t="shared" si="36"/>
        <v>1</v>
      </c>
      <c r="K47" s="84">
        <f t="shared" si="36"/>
        <v>0</v>
      </c>
      <c r="L47" s="84">
        <f t="shared" si="36"/>
        <v>1</v>
      </c>
      <c r="M47" s="27">
        <f t="shared" si="36"/>
        <v>1</v>
      </c>
      <c r="N47" s="26">
        <f t="shared" si="36"/>
        <v>1</v>
      </c>
      <c r="O47" s="84">
        <f t="shared" si="36"/>
        <v>1</v>
      </c>
      <c r="P47" s="84">
        <f t="shared" si="36"/>
        <v>1</v>
      </c>
      <c r="Q47" s="84">
        <f t="shared" si="36"/>
        <v>1</v>
      </c>
      <c r="R47" s="84">
        <f t="shared" si="36"/>
        <v>0</v>
      </c>
      <c r="S47" s="84">
        <f t="shared" si="36"/>
        <v>1</v>
      </c>
      <c r="T47" s="84">
        <f t="shared" si="36"/>
        <v>1</v>
      </c>
      <c r="U47" s="84">
        <f t="shared" si="36"/>
        <v>1</v>
      </c>
      <c r="V47" s="27">
        <f t="shared" si="36"/>
        <v>1</v>
      </c>
      <c r="W47" s="21"/>
      <c r="X47" s="62">
        <f t="shared" si="37"/>
        <v>8</v>
      </c>
      <c r="Y47" s="62">
        <f t="shared" si="38"/>
        <v>8</v>
      </c>
      <c r="Z47" s="63">
        <f t="shared" si="39"/>
        <v>16</v>
      </c>
    </row>
    <row r="48">
      <c r="A48" s="64"/>
      <c r="B48" s="64"/>
      <c r="C48" s="52"/>
      <c r="D48" s="5" t="str">
        <f t="shared" si="21"/>
        <v>Dillon</v>
      </c>
      <c r="E48" s="84">
        <f t="shared" ref="E48:V48" si="40">IF(VLOOKUP($D48,$A$4:$B$19,2,FALSE)&gt;=E$13,1,0)</f>
        <v>1</v>
      </c>
      <c r="F48" s="84">
        <f t="shared" si="40"/>
        <v>1</v>
      </c>
      <c r="G48" s="84">
        <f t="shared" si="40"/>
        <v>1</v>
      </c>
      <c r="H48" s="84">
        <f t="shared" si="40"/>
        <v>1</v>
      </c>
      <c r="I48" s="84">
        <f t="shared" si="40"/>
        <v>1</v>
      </c>
      <c r="J48" s="84">
        <f t="shared" si="40"/>
        <v>1</v>
      </c>
      <c r="K48" s="84">
        <f t="shared" si="40"/>
        <v>0</v>
      </c>
      <c r="L48" s="84">
        <f t="shared" si="40"/>
        <v>1</v>
      </c>
      <c r="M48" s="27">
        <f t="shared" si="40"/>
        <v>1</v>
      </c>
      <c r="N48" s="26">
        <f t="shared" si="40"/>
        <v>1</v>
      </c>
      <c r="O48" s="84">
        <f t="shared" si="40"/>
        <v>1</v>
      </c>
      <c r="P48" s="84">
        <f t="shared" si="40"/>
        <v>1</v>
      </c>
      <c r="Q48" s="84">
        <f t="shared" si="40"/>
        <v>1</v>
      </c>
      <c r="R48" s="84">
        <f t="shared" si="40"/>
        <v>0</v>
      </c>
      <c r="S48" s="84">
        <f t="shared" si="40"/>
        <v>1</v>
      </c>
      <c r="T48" s="84">
        <f t="shared" si="40"/>
        <v>1</v>
      </c>
      <c r="U48" s="84">
        <f t="shared" si="40"/>
        <v>1</v>
      </c>
      <c r="V48" s="27">
        <f t="shared" si="40"/>
        <v>1</v>
      </c>
      <c r="W48" s="21"/>
      <c r="X48" s="62">
        <f t="shared" si="37"/>
        <v>8</v>
      </c>
      <c r="Y48" s="62">
        <f t="shared" si="38"/>
        <v>8</v>
      </c>
      <c r="Z48" s="63">
        <f t="shared" si="39"/>
        <v>16</v>
      </c>
    </row>
    <row r="49">
      <c r="A49" s="64"/>
      <c r="B49" s="64"/>
      <c r="C49" s="52"/>
      <c r="D49" s="5" t="str">
        <f t="shared" si="21"/>
        <v>Juan</v>
      </c>
      <c r="E49" s="84">
        <f t="shared" ref="E49:V49" si="41">IF(VLOOKUP($D49,$A$4:$B$19,2,FALSE)&gt;=E$13,1,0)</f>
        <v>1</v>
      </c>
      <c r="F49" s="84">
        <f t="shared" si="41"/>
        <v>1</v>
      </c>
      <c r="G49" s="84">
        <f t="shared" si="41"/>
        <v>1</v>
      </c>
      <c r="H49" s="84">
        <f t="shared" si="41"/>
        <v>1</v>
      </c>
      <c r="I49" s="84">
        <f t="shared" si="41"/>
        <v>1</v>
      </c>
      <c r="J49" s="84">
        <f t="shared" si="41"/>
        <v>1</v>
      </c>
      <c r="K49" s="84">
        <f t="shared" si="41"/>
        <v>0</v>
      </c>
      <c r="L49" s="84">
        <f t="shared" si="41"/>
        <v>1</v>
      </c>
      <c r="M49" s="27">
        <f t="shared" si="41"/>
        <v>1</v>
      </c>
      <c r="N49" s="26">
        <f t="shared" si="41"/>
        <v>1</v>
      </c>
      <c r="O49" s="84">
        <f t="shared" si="41"/>
        <v>0</v>
      </c>
      <c r="P49" s="84">
        <f t="shared" si="41"/>
        <v>1</v>
      </c>
      <c r="Q49" s="84">
        <f t="shared" si="41"/>
        <v>1</v>
      </c>
      <c r="R49" s="84">
        <f t="shared" si="41"/>
        <v>0</v>
      </c>
      <c r="S49" s="84">
        <f t="shared" si="41"/>
        <v>1</v>
      </c>
      <c r="T49" s="84">
        <f t="shared" si="41"/>
        <v>1</v>
      </c>
      <c r="U49" s="84">
        <f t="shared" si="41"/>
        <v>1</v>
      </c>
      <c r="V49" s="27">
        <f t="shared" si="41"/>
        <v>1</v>
      </c>
      <c r="W49" s="21"/>
      <c r="X49" s="62">
        <f t="shared" si="37"/>
        <v>8</v>
      </c>
      <c r="Y49" s="62">
        <f t="shared" si="38"/>
        <v>7</v>
      </c>
      <c r="Z49" s="63">
        <f t="shared" si="39"/>
        <v>15</v>
      </c>
    </row>
    <row r="50">
      <c r="A50" s="5"/>
      <c r="B50" s="5"/>
      <c r="C50" s="58"/>
      <c r="D50" s="5" t="str">
        <f t="shared" si="21"/>
        <v/>
      </c>
      <c r="M50" s="27"/>
      <c r="N50" s="26"/>
      <c r="V50" s="27"/>
      <c r="W50" s="21"/>
      <c r="X50" s="62"/>
      <c r="Y50" s="62"/>
      <c r="Z50" s="63"/>
    </row>
    <row r="51">
      <c r="A51" s="64"/>
      <c r="B51" s="64"/>
      <c r="C51" s="85" t="s">
        <v>57</v>
      </c>
      <c r="D51" s="5" t="str">
        <f t="shared" si="21"/>
        <v>Dan</v>
      </c>
      <c r="E51" s="84">
        <f t="shared" ref="E51:V51" si="42">IF(VLOOKUP($D51,$A$4:$B$19,2,FALSE)&gt;=E$13,1,0)</f>
        <v>0</v>
      </c>
      <c r="F51" s="84">
        <f t="shared" si="42"/>
        <v>0</v>
      </c>
      <c r="G51" s="84">
        <f t="shared" si="42"/>
        <v>1</v>
      </c>
      <c r="H51" s="84">
        <f t="shared" si="42"/>
        <v>1</v>
      </c>
      <c r="I51" s="84">
        <f t="shared" si="42"/>
        <v>1</v>
      </c>
      <c r="J51" s="84">
        <f t="shared" si="42"/>
        <v>0</v>
      </c>
      <c r="K51" s="84">
        <f t="shared" si="42"/>
        <v>0</v>
      </c>
      <c r="L51" s="84">
        <f t="shared" si="42"/>
        <v>0</v>
      </c>
      <c r="M51" s="27">
        <f t="shared" si="42"/>
        <v>1</v>
      </c>
      <c r="N51" s="26">
        <f t="shared" si="42"/>
        <v>1</v>
      </c>
      <c r="O51" s="84">
        <f t="shared" si="42"/>
        <v>0</v>
      </c>
      <c r="P51" s="84">
        <f t="shared" si="42"/>
        <v>0</v>
      </c>
      <c r="Q51" s="84">
        <f t="shared" si="42"/>
        <v>1</v>
      </c>
      <c r="R51" s="84">
        <f t="shared" si="42"/>
        <v>0</v>
      </c>
      <c r="S51" s="84">
        <f t="shared" si="42"/>
        <v>0</v>
      </c>
      <c r="T51" s="84">
        <f t="shared" si="42"/>
        <v>0</v>
      </c>
      <c r="U51" s="84">
        <f t="shared" si="42"/>
        <v>0</v>
      </c>
      <c r="V51" s="27">
        <f t="shared" si="42"/>
        <v>1</v>
      </c>
      <c r="W51" s="21"/>
      <c r="X51" s="62">
        <f t="shared" ref="X51:X59" si="44">SUM(E51:M51)</f>
        <v>4</v>
      </c>
      <c r="Y51" s="62">
        <f t="shared" ref="Y51:Y59" si="45">SUM(N51:V51)</f>
        <v>3</v>
      </c>
      <c r="Z51" s="63">
        <f t="shared" ref="Z51:Z54" si="46">sum(X51,Y51)</f>
        <v>7</v>
      </c>
    </row>
    <row r="52">
      <c r="A52" s="64"/>
      <c r="B52" s="64"/>
      <c r="C52" s="52"/>
      <c r="D52" s="5" t="str">
        <f t="shared" si="21"/>
        <v>Jon</v>
      </c>
      <c r="E52" s="84">
        <f t="shared" ref="E52:V52" si="43">IF(VLOOKUP($D52,$A$4:$B$19,2,FALSE)&gt;=E$13,1,0)</f>
        <v>1</v>
      </c>
      <c r="F52" s="84">
        <f t="shared" si="43"/>
        <v>1</v>
      </c>
      <c r="G52" s="84">
        <f t="shared" si="43"/>
        <v>1</v>
      </c>
      <c r="H52" s="84">
        <f t="shared" si="43"/>
        <v>1</v>
      </c>
      <c r="I52" s="84">
        <f t="shared" si="43"/>
        <v>1</v>
      </c>
      <c r="J52" s="84">
        <f t="shared" si="43"/>
        <v>1</v>
      </c>
      <c r="K52" s="84">
        <f t="shared" si="43"/>
        <v>1</v>
      </c>
      <c r="L52" s="84">
        <f t="shared" si="43"/>
        <v>1</v>
      </c>
      <c r="M52" s="27">
        <f t="shared" si="43"/>
        <v>1</v>
      </c>
      <c r="N52" s="26">
        <f t="shared" si="43"/>
        <v>1</v>
      </c>
      <c r="O52" s="84">
        <f t="shared" si="43"/>
        <v>1</v>
      </c>
      <c r="P52" s="84">
        <f t="shared" si="43"/>
        <v>1</v>
      </c>
      <c r="Q52" s="84">
        <f t="shared" si="43"/>
        <v>1</v>
      </c>
      <c r="R52" s="84">
        <f t="shared" si="43"/>
        <v>1</v>
      </c>
      <c r="S52" s="84">
        <f t="shared" si="43"/>
        <v>1</v>
      </c>
      <c r="T52" s="84">
        <f t="shared" si="43"/>
        <v>1</v>
      </c>
      <c r="U52" s="84">
        <f t="shared" si="43"/>
        <v>1</v>
      </c>
      <c r="V52" s="27">
        <f t="shared" si="43"/>
        <v>1</v>
      </c>
      <c r="W52" s="21"/>
      <c r="X52" s="62">
        <f t="shared" si="44"/>
        <v>9</v>
      </c>
      <c r="Y52" s="62">
        <f t="shared" si="45"/>
        <v>9</v>
      </c>
      <c r="Z52" s="63">
        <f t="shared" si="46"/>
        <v>18</v>
      </c>
    </row>
    <row r="53">
      <c r="A53" s="64"/>
      <c r="B53" s="64"/>
      <c r="C53" s="52"/>
      <c r="D53" s="5" t="str">
        <f t="shared" si="21"/>
        <v>JoePa</v>
      </c>
      <c r="E53" s="84">
        <f t="shared" ref="E53:V53" si="47">IF(VLOOKUP($D53,$A$4:$B$19,2,FALSE)&gt;=E$13,1,0)</f>
        <v>0</v>
      </c>
      <c r="F53" s="84">
        <f t="shared" si="47"/>
        <v>0</v>
      </c>
      <c r="G53" s="84">
        <f t="shared" si="47"/>
        <v>1</v>
      </c>
      <c r="H53" s="84">
        <f t="shared" si="47"/>
        <v>1</v>
      </c>
      <c r="I53" s="84">
        <f t="shared" si="47"/>
        <v>1</v>
      </c>
      <c r="J53" s="84">
        <f t="shared" si="47"/>
        <v>1</v>
      </c>
      <c r="K53" s="84">
        <f t="shared" si="47"/>
        <v>0</v>
      </c>
      <c r="L53" s="84">
        <f t="shared" si="47"/>
        <v>0</v>
      </c>
      <c r="M53" s="27">
        <f t="shared" si="47"/>
        <v>1</v>
      </c>
      <c r="N53" s="26">
        <f t="shared" si="47"/>
        <v>1</v>
      </c>
      <c r="O53" s="84">
        <f t="shared" si="47"/>
        <v>0</v>
      </c>
      <c r="P53" s="84">
        <f t="shared" si="47"/>
        <v>1</v>
      </c>
      <c r="Q53" s="84">
        <f t="shared" si="47"/>
        <v>1</v>
      </c>
      <c r="R53" s="84">
        <f t="shared" si="47"/>
        <v>0</v>
      </c>
      <c r="S53" s="84">
        <f t="shared" si="47"/>
        <v>0</v>
      </c>
      <c r="T53" s="84">
        <f t="shared" si="47"/>
        <v>1</v>
      </c>
      <c r="U53" s="84">
        <f t="shared" si="47"/>
        <v>0</v>
      </c>
      <c r="V53" s="27">
        <f t="shared" si="47"/>
        <v>1</v>
      </c>
      <c r="W53" s="21"/>
      <c r="X53" s="62">
        <f t="shared" si="44"/>
        <v>5</v>
      </c>
      <c r="Y53" s="62">
        <f t="shared" si="45"/>
        <v>5</v>
      </c>
      <c r="Z53" s="63">
        <f t="shared" si="46"/>
        <v>10</v>
      </c>
    </row>
    <row r="54">
      <c r="A54" s="64"/>
      <c r="B54" s="64"/>
      <c r="C54" s="72"/>
      <c r="D54" s="73" t="str">
        <f t="shared" si="21"/>
        <v>Corey</v>
      </c>
      <c r="E54" s="86">
        <f t="shared" ref="E54:V54" si="48">IF(VLOOKUP($D54,$A$4:$B$19,2,FALSE)&gt;=E$13,1,0)</f>
        <v>0</v>
      </c>
      <c r="F54" s="86">
        <f t="shared" si="48"/>
        <v>0</v>
      </c>
      <c r="G54" s="86">
        <f t="shared" si="48"/>
        <v>1</v>
      </c>
      <c r="H54" s="86">
        <f t="shared" si="48"/>
        <v>1</v>
      </c>
      <c r="I54" s="86">
        <f t="shared" si="48"/>
        <v>1</v>
      </c>
      <c r="J54" s="86">
        <f t="shared" si="48"/>
        <v>1</v>
      </c>
      <c r="K54" s="86">
        <f t="shared" si="48"/>
        <v>0</v>
      </c>
      <c r="L54" s="86">
        <f t="shared" si="48"/>
        <v>1</v>
      </c>
      <c r="M54" s="87">
        <f t="shared" si="48"/>
        <v>1</v>
      </c>
      <c r="N54" s="88">
        <f t="shared" si="48"/>
        <v>1</v>
      </c>
      <c r="O54" s="86">
        <f t="shared" si="48"/>
        <v>0</v>
      </c>
      <c r="P54" s="86">
        <f t="shared" si="48"/>
        <v>1</v>
      </c>
      <c r="Q54" s="86">
        <f t="shared" si="48"/>
        <v>1</v>
      </c>
      <c r="R54" s="86">
        <f t="shared" si="48"/>
        <v>0</v>
      </c>
      <c r="S54" s="86">
        <f t="shared" si="48"/>
        <v>1</v>
      </c>
      <c r="T54" s="86">
        <f t="shared" si="48"/>
        <v>1</v>
      </c>
      <c r="U54" s="86">
        <f t="shared" si="48"/>
        <v>0</v>
      </c>
      <c r="V54" s="87">
        <f t="shared" si="48"/>
        <v>1</v>
      </c>
      <c r="W54" s="21"/>
      <c r="X54" s="89">
        <f t="shared" si="44"/>
        <v>6</v>
      </c>
      <c r="Y54" s="89">
        <f t="shared" si="45"/>
        <v>6</v>
      </c>
      <c r="Z54" s="90">
        <f t="shared" si="46"/>
        <v>12</v>
      </c>
    </row>
    <row r="55">
      <c r="A55" s="5"/>
      <c r="B55" s="5"/>
      <c r="D55" s="5"/>
      <c r="M55" s="27"/>
      <c r="N55" s="26"/>
      <c r="V55" s="27"/>
      <c r="W55" s="21"/>
      <c r="X55" s="62">
        <f t="shared" si="44"/>
        <v>0</v>
      </c>
      <c r="Y55" s="62">
        <f t="shared" si="45"/>
        <v>0</v>
      </c>
      <c r="Z55" s="63"/>
      <c r="AA55" s="91" t="s">
        <v>58</v>
      </c>
      <c r="AB55" s="92" t="s">
        <v>59</v>
      </c>
      <c r="AC55" s="92" t="s">
        <v>60</v>
      </c>
      <c r="AD55" s="92" t="s">
        <v>61</v>
      </c>
      <c r="AE55" s="92" t="s">
        <v>62</v>
      </c>
      <c r="AF55" s="93" t="s">
        <v>63</v>
      </c>
    </row>
    <row r="56">
      <c r="A56" s="64"/>
      <c r="B56" s="64"/>
      <c r="C56" s="79" t="s">
        <v>64</v>
      </c>
      <c r="D56" s="94" t="str">
        <f t="shared" ref="D56:D74" si="51">D36</f>
        <v>Cole</v>
      </c>
      <c r="E56" s="95">
        <f t="shared" ref="E56:V56" si="49">E16-E36</f>
        <v>5</v>
      </c>
      <c r="F56" s="95">
        <f t="shared" si="49"/>
        <v>4</v>
      </c>
      <c r="G56" s="95">
        <f t="shared" si="49"/>
        <v>4</v>
      </c>
      <c r="H56" s="95">
        <f t="shared" si="49"/>
        <v>6</v>
      </c>
      <c r="I56" s="95">
        <f t="shared" si="49"/>
        <v>4</v>
      </c>
      <c r="J56" s="95">
        <f t="shared" si="49"/>
        <v>6</v>
      </c>
      <c r="K56" s="95">
        <f t="shared" si="49"/>
        <v>3</v>
      </c>
      <c r="L56" s="95">
        <f t="shared" si="49"/>
        <v>4</v>
      </c>
      <c r="M56" s="96">
        <f t="shared" si="49"/>
        <v>6</v>
      </c>
      <c r="N56" s="97">
        <f t="shared" si="49"/>
        <v>5</v>
      </c>
      <c r="O56" s="95">
        <f t="shared" si="49"/>
        <v>5</v>
      </c>
      <c r="P56" s="95">
        <f t="shared" si="49"/>
        <v>4</v>
      </c>
      <c r="Q56" s="95">
        <f t="shared" si="49"/>
        <v>5</v>
      </c>
      <c r="R56" s="95">
        <f t="shared" si="49"/>
        <v>4</v>
      </c>
      <c r="S56" s="95">
        <f t="shared" si="49"/>
        <v>3</v>
      </c>
      <c r="T56" s="95">
        <f t="shared" si="49"/>
        <v>5</v>
      </c>
      <c r="U56" s="95">
        <f t="shared" si="49"/>
        <v>4</v>
      </c>
      <c r="V56" s="96">
        <f t="shared" si="49"/>
        <v>5</v>
      </c>
      <c r="W56" s="21"/>
      <c r="X56" s="50">
        <f t="shared" si="44"/>
        <v>42</v>
      </c>
      <c r="Y56" s="50">
        <f t="shared" si="45"/>
        <v>40</v>
      </c>
      <c r="Z56" s="51">
        <f t="shared" ref="Z56:Z59" si="53">sum(X56,Y56)</f>
        <v>82</v>
      </c>
      <c r="AA56" s="61">
        <f>SUM(MIN(E56,E57),MIN(F56,F57),MIN(G56,G57),MIN(H56,H57),MIN(I56,I57),MIN(J56,J57),MIN(K56,K57),MIN(L56,L57),MIN(M56,M57))</f>
        <v>35</v>
      </c>
      <c r="AB56" s="59">
        <f>SUM(MIN(N56,N57),MIN(O56,O57),MIN(P56,P57),MIN(Q56,Q57),MIN(R56,R57),MIN(S56,S57),MIN(T56,T57),MIN(U56,U57),MIN(V56,V57))</f>
        <v>32</v>
      </c>
      <c r="AC56" s="7">
        <f t="shared" ref="AC56:AD56" si="50">IF(AA56&lt;AA58, 1, 0)</f>
        <v>1</v>
      </c>
      <c r="AD56" s="7">
        <f t="shared" si="50"/>
        <v>1</v>
      </c>
      <c r="AE56" s="84">
        <f>SUM(AC56,AD56)</f>
        <v>2</v>
      </c>
      <c r="AF56" s="98" t="s">
        <v>6</v>
      </c>
    </row>
    <row r="57">
      <c r="A57" s="64"/>
      <c r="B57" s="64"/>
      <c r="C57" s="52"/>
      <c r="D57" s="21" t="str">
        <f t="shared" si="51"/>
        <v>Tovey</v>
      </c>
      <c r="E57" s="59">
        <f t="shared" ref="E57:V57" si="52">E17-E37</f>
        <v>4</v>
      </c>
      <c r="F57" s="59">
        <f t="shared" si="52"/>
        <v>6</v>
      </c>
      <c r="G57" s="59">
        <f t="shared" si="52"/>
        <v>3</v>
      </c>
      <c r="H57" s="59">
        <f t="shared" si="52"/>
        <v>3</v>
      </c>
      <c r="I57" s="59">
        <f t="shared" si="52"/>
        <v>4</v>
      </c>
      <c r="J57" s="59">
        <f t="shared" si="52"/>
        <v>4</v>
      </c>
      <c r="K57" s="59">
        <f t="shared" si="52"/>
        <v>4</v>
      </c>
      <c r="L57" s="59">
        <f t="shared" si="52"/>
        <v>4</v>
      </c>
      <c r="M57" s="60">
        <f t="shared" si="52"/>
        <v>7</v>
      </c>
      <c r="N57" s="61">
        <f t="shared" si="52"/>
        <v>4</v>
      </c>
      <c r="O57" s="59">
        <f t="shared" si="52"/>
        <v>3</v>
      </c>
      <c r="P57" s="59">
        <f t="shared" si="52"/>
        <v>3</v>
      </c>
      <c r="Q57" s="59">
        <f t="shared" si="52"/>
        <v>6</v>
      </c>
      <c r="R57" s="59">
        <f t="shared" si="52"/>
        <v>4</v>
      </c>
      <c r="S57" s="59">
        <f t="shared" si="52"/>
        <v>4</v>
      </c>
      <c r="T57" s="59">
        <f t="shared" si="52"/>
        <v>3</v>
      </c>
      <c r="U57" s="59">
        <f t="shared" si="52"/>
        <v>2</v>
      </c>
      <c r="V57" s="60">
        <f t="shared" si="52"/>
        <v>6</v>
      </c>
      <c r="W57" s="21"/>
      <c r="X57" s="56">
        <f t="shared" si="44"/>
        <v>39</v>
      </c>
      <c r="Y57" s="56">
        <f t="shared" si="45"/>
        <v>35</v>
      </c>
      <c r="Z57" s="57">
        <f t="shared" si="53"/>
        <v>74</v>
      </c>
      <c r="AA57" s="26"/>
      <c r="AF57" s="27"/>
    </row>
    <row r="58">
      <c r="A58" s="64"/>
      <c r="B58" s="64"/>
      <c r="C58" s="52"/>
      <c r="D58" s="21" t="str">
        <f t="shared" si="51"/>
        <v>Connor</v>
      </c>
      <c r="E58" s="59">
        <f t="shared" ref="E58:V58" si="54">E18-E38</f>
        <v>7</v>
      </c>
      <c r="F58" s="59">
        <f t="shared" si="54"/>
        <v>5</v>
      </c>
      <c r="G58" s="59">
        <f t="shared" si="54"/>
        <v>7</v>
      </c>
      <c r="H58" s="59">
        <f t="shared" si="54"/>
        <v>7</v>
      </c>
      <c r="I58" s="59">
        <f t="shared" si="54"/>
        <v>7</v>
      </c>
      <c r="J58" s="59">
        <f t="shared" si="54"/>
        <v>9</v>
      </c>
      <c r="K58" s="59">
        <f t="shared" si="54"/>
        <v>6</v>
      </c>
      <c r="L58" s="59">
        <f t="shared" si="54"/>
        <v>6</v>
      </c>
      <c r="M58" s="60">
        <f t="shared" si="54"/>
        <v>7</v>
      </c>
      <c r="N58" s="61">
        <f t="shared" si="54"/>
        <v>4</v>
      </c>
      <c r="O58" s="59">
        <f t="shared" si="54"/>
        <v>3</v>
      </c>
      <c r="P58" s="59">
        <f t="shared" si="54"/>
        <v>4</v>
      </c>
      <c r="Q58" s="59">
        <f t="shared" si="54"/>
        <v>6</v>
      </c>
      <c r="R58" s="59">
        <f t="shared" si="54"/>
        <v>4</v>
      </c>
      <c r="S58" s="59">
        <f t="shared" si="54"/>
        <v>3</v>
      </c>
      <c r="T58" s="59">
        <f t="shared" si="54"/>
        <v>4</v>
      </c>
      <c r="U58" s="59">
        <f t="shared" si="54"/>
        <v>3</v>
      </c>
      <c r="V58" s="60">
        <f t="shared" si="54"/>
        <v>5</v>
      </c>
      <c r="W58" s="21"/>
      <c r="X58" s="56">
        <f t="shared" si="44"/>
        <v>61</v>
      </c>
      <c r="Y58" s="56">
        <f t="shared" si="45"/>
        <v>36</v>
      </c>
      <c r="Z58" s="57">
        <f t="shared" si="53"/>
        <v>97</v>
      </c>
      <c r="AA58" s="61">
        <f>SUM(MIN(E58,E59),MIN(F58,F59),MIN(G58,G59),MIN(H58,H59),MIN(I58,I59),MIN(J58,J59),MIN(K58,K59),MIN(L58,L59),MIN(M58,M59))</f>
        <v>36</v>
      </c>
      <c r="AB58" s="59">
        <f>SUM(MIN(N58,N59),MIN(O58,O59),MIN(P58,P59),MIN(Q58,Q59),MIN(R58,R59),MIN(S58,S59),MIN(T58,T59),MIN(U58,U59),MIN(V58,V59))</f>
        <v>34</v>
      </c>
      <c r="AC58" s="7">
        <f t="shared" ref="AC58:AD58" si="55">IF(AA56&gt;AA58, 1, 0)</f>
        <v>0</v>
      </c>
      <c r="AD58" s="7">
        <f t="shared" si="55"/>
        <v>0</v>
      </c>
      <c r="AE58" s="84">
        <f>SUM(AC58,AD58)</f>
        <v>0</v>
      </c>
      <c r="AF58" s="98" t="s">
        <v>7</v>
      </c>
    </row>
    <row r="59">
      <c r="A59" s="64"/>
      <c r="B59" s="64"/>
      <c r="C59" s="52"/>
      <c r="D59" s="21" t="str">
        <f t="shared" si="51"/>
        <v>Andy</v>
      </c>
      <c r="E59" s="59">
        <f t="shared" ref="E59:V59" si="56">E19-E39</f>
        <v>3</v>
      </c>
      <c r="F59" s="59">
        <f t="shared" si="56"/>
        <v>4</v>
      </c>
      <c r="G59" s="59">
        <f t="shared" si="56"/>
        <v>4</v>
      </c>
      <c r="H59" s="59">
        <f t="shared" si="56"/>
        <v>6</v>
      </c>
      <c r="I59" s="59">
        <f t="shared" si="56"/>
        <v>4</v>
      </c>
      <c r="J59" s="59">
        <f t="shared" si="56"/>
        <v>4</v>
      </c>
      <c r="K59" s="59">
        <f t="shared" si="56"/>
        <v>3</v>
      </c>
      <c r="L59" s="59">
        <f t="shared" si="56"/>
        <v>4</v>
      </c>
      <c r="M59" s="60">
        <f t="shared" si="56"/>
        <v>4</v>
      </c>
      <c r="N59" s="61">
        <f t="shared" si="56"/>
        <v>4</v>
      </c>
      <c r="O59" s="59">
        <f t="shared" si="56"/>
        <v>3</v>
      </c>
      <c r="P59" s="59">
        <f t="shared" si="56"/>
        <v>4</v>
      </c>
      <c r="Q59" s="59">
        <f t="shared" si="56"/>
        <v>6</v>
      </c>
      <c r="R59" s="59">
        <f t="shared" si="56"/>
        <v>3</v>
      </c>
      <c r="S59" s="59">
        <f t="shared" si="56"/>
        <v>5</v>
      </c>
      <c r="T59" s="59">
        <f t="shared" si="56"/>
        <v>6</v>
      </c>
      <c r="U59" s="59">
        <f t="shared" si="56"/>
        <v>3</v>
      </c>
      <c r="V59" s="60">
        <f t="shared" si="56"/>
        <v>4</v>
      </c>
      <c r="W59" s="21"/>
      <c r="X59" s="56">
        <f t="shared" si="44"/>
        <v>36</v>
      </c>
      <c r="Y59" s="56">
        <f t="shared" si="45"/>
        <v>38</v>
      </c>
      <c r="Z59" s="57">
        <f t="shared" si="53"/>
        <v>74</v>
      </c>
      <c r="AA59" s="26"/>
      <c r="AF59" s="27"/>
    </row>
    <row r="60">
      <c r="C60" s="58"/>
      <c r="D60" s="21" t="str">
        <f t="shared" si="51"/>
        <v/>
      </c>
      <c r="M60" s="27"/>
      <c r="N60" s="26"/>
      <c r="V60" s="27"/>
      <c r="W60" s="21"/>
      <c r="X60" s="62"/>
      <c r="Y60" s="62"/>
      <c r="Z60" s="63"/>
      <c r="AA60" s="26"/>
      <c r="AF60" s="27"/>
    </row>
    <row r="61">
      <c r="C61" s="85" t="s">
        <v>64</v>
      </c>
      <c r="D61" s="21" t="str">
        <f t="shared" si="51"/>
        <v>Brett</v>
      </c>
      <c r="E61" s="59">
        <f t="shared" ref="E61:V61" si="57">E21-E41</f>
        <v>4</v>
      </c>
      <c r="F61" s="59">
        <f t="shared" si="57"/>
        <v>4</v>
      </c>
      <c r="G61" s="59">
        <f t="shared" si="57"/>
        <v>4</v>
      </c>
      <c r="H61" s="59">
        <f t="shared" si="57"/>
        <v>5</v>
      </c>
      <c r="I61" s="59">
        <f t="shared" si="57"/>
        <v>5</v>
      </c>
      <c r="J61" s="59">
        <f t="shared" si="57"/>
        <v>7</v>
      </c>
      <c r="K61" s="59">
        <f t="shared" si="57"/>
        <v>3</v>
      </c>
      <c r="L61" s="59">
        <f t="shared" si="57"/>
        <v>6</v>
      </c>
      <c r="M61" s="60">
        <f t="shared" si="57"/>
        <v>5</v>
      </c>
      <c r="N61" s="61">
        <f t="shared" si="57"/>
        <v>4</v>
      </c>
      <c r="O61" s="59">
        <f t="shared" si="57"/>
        <v>6</v>
      </c>
      <c r="P61" s="59">
        <f t="shared" si="57"/>
        <v>5</v>
      </c>
      <c r="Q61" s="59">
        <f t="shared" si="57"/>
        <v>5</v>
      </c>
      <c r="R61" s="59">
        <f t="shared" si="57"/>
        <v>5</v>
      </c>
      <c r="S61" s="59">
        <f t="shared" si="57"/>
        <v>3</v>
      </c>
      <c r="T61" s="59">
        <f t="shared" si="57"/>
        <v>5</v>
      </c>
      <c r="U61" s="59">
        <f t="shared" si="57"/>
        <v>3</v>
      </c>
      <c r="V61" s="60">
        <f t="shared" si="57"/>
        <v>5</v>
      </c>
      <c r="W61" s="21"/>
      <c r="X61" s="56">
        <f t="shared" ref="X61:X64" si="60">SUM(E61:M61)</f>
        <v>43</v>
      </c>
      <c r="Y61" s="56">
        <f t="shared" ref="Y61:Y64" si="61">SUM(N61:V61)</f>
        <v>41</v>
      </c>
      <c r="Z61" s="57">
        <f t="shared" ref="Z61:Z64" si="62">sum(X61,Y61)</f>
        <v>84</v>
      </c>
      <c r="AA61" s="61">
        <f>SUM(MIN(E61,E62),MIN(F61,F62),MIN(G61,G62),MIN(H61,H62),MIN(I61,I62),MIN(J61,J62),MIN(K61,K62),MIN(L61,L62),MIN(M61,M62))</f>
        <v>43</v>
      </c>
      <c r="AB61" s="59">
        <f>SUM(MIN(N61,N62),MIN(O61,O62),MIN(P61,P62),MIN(Q61,Q62),MIN(R61,R62),MIN(S61,S62),MIN(T61,T62),MIN(U61,U62),MIN(V61,V62))</f>
        <v>40</v>
      </c>
      <c r="AC61" s="7">
        <f t="shared" ref="AC61:AD61" si="58">IF(AA61&lt;AA63, 1, 0)</f>
        <v>0</v>
      </c>
      <c r="AD61" s="7">
        <f t="shared" si="58"/>
        <v>0</v>
      </c>
      <c r="AE61" s="84">
        <f>SUM(AC61,AD61)</f>
        <v>0</v>
      </c>
      <c r="AF61" s="98" t="s">
        <v>6</v>
      </c>
    </row>
    <row r="62">
      <c r="C62" s="52"/>
      <c r="D62" s="21" t="str">
        <f t="shared" si="51"/>
        <v>Matt</v>
      </c>
      <c r="E62" s="59">
        <f t="shared" ref="E62:V62" si="59">E22-E42</f>
        <v>5</v>
      </c>
      <c r="F62" s="59">
        <f t="shared" si="59"/>
        <v>4</v>
      </c>
      <c r="G62" s="59">
        <f t="shared" si="59"/>
        <v>4</v>
      </c>
      <c r="H62" s="59">
        <f t="shared" si="59"/>
        <v>5</v>
      </c>
      <c r="I62" s="59">
        <f t="shared" si="59"/>
        <v>7</v>
      </c>
      <c r="J62" s="59">
        <f t="shared" si="59"/>
        <v>8</v>
      </c>
      <c r="K62" s="59">
        <f t="shared" si="59"/>
        <v>4</v>
      </c>
      <c r="L62" s="59">
        <f t="shared" si="59"/>
        <v>6</v>
      </c>
      <c r="M62" s="60">
        <f t="shared" si="59"/>
        <v>6</v>
      </c>
      <c r="N62" s="61">
        <f t="shared" si="59"/>
        <v>5</v>
      </c>
      <c r="O62" s="59">
        <f t="shared" si="59"/>
        <v>6</v>
      </c>
      <c r="P62" s="59">
        <f t="shared" si="59"/>
        <v>5</v>
      </c>
      <c r="Q62" s="59">
        <f t="shared" si="59"/>
        <v>5</v>
      </c>
      <c r="R62" s="59">
        <f t="shared" si="59"/>
        <v>4</v>
      </c>
      <c r="S62" s="59">
        <f t="shared" si="59"/>
        <v>4</v>
      </c>
      <c r="T62" s="59">
        <f t="shared" si="59"/>
        <v>6</v>
      </c>
      <c r="U62" s="59">
        <f t="shared" si="59"/>
        <v>4</v>
      </c>
      <c r="V62" s="60">
        <f t="shared" si="59"/>
        <v>6</v>
      </c>
      <c r="W62" s="21"/>
      <c r="X62" s="56">
        <f t="shared" si="60"/>
        <v>49</v>
      </c>
      <c r="Y62" s="56">
        <f t="shared" si="61"/>
        <v>45</v>
      </c>
      <c r="Z62" s="57">
        <f t="shared" si="62"/>
        <v>94</v>
      </c>
      <c r="AA62" s="26"/>
      <c r="AF62" s="27"/>
    </row>
    <row r="63">
      <c r="C63" s="52"/>
      <c r="D63" s="21" t="str">
        <f t="shared" si="51"/>
        <v>Bud</v>
      </c>
      <c r="E63" s="59">
        <f t="shared" ref="E63:V63" si="63">E23-E43</f>
        <v>5</v>
      </c>
      <c r="F63" s="59">
        <f t="shared" si="63"/>
        <v>2</v>
      </c>
      <c r="G63" s="59">
        <f t="shared" si="63"/>
        <v>6</v>
      </c>
      <c r="H63" s="59">
        <f t="shared" si="63"/>
        <v>6</v>
      </c>
      <c r="I63" s="59">
        <f t="shared" si="63"/>
        <v>5</v>
      </c>
      <c r="J63" s="59">
        <f t="shared" si="63"/>
        <v>6</v>
      </c>
      <c r="K63" s="59">
        <f t="shared" si="63"/>
        <v>3</v>
      </c>
      <c r="L63" s="59">
        <f t="shared" si="63"/>
        <v>4</v>
      </c>
      <c r="M63" s="60">
        <f t="shared" si="63"/>
        <v>6</v>
      </c>
      <c r="N63" s="61">
        <f t="shared" si="63"/>
        <v>4</v>
      </c>
      <c r="O63" s="59">
        <f t="shared" si="63"/>
        <v>3</v>
      </c>
      <c r="P63" s="59">
        <f t="shared" si="63"/>
        <v>4</v>
      </c>
      <c r="Q63" s="59">
        <f t="shared" si="63"/>
        <v>6</v>
      </c>
      <c r="R63" s="59">
        <f t="shared" si="63"/>
        <v>5</v>
      </c>
      <c r="S63" s="59">
        <f t="shared" si="63"/>
        <v>5</v>
      </c>
      <c r="T63" s="59">
        <f t="shared" si="63"/>
        <v>5</v>
      </c>
      <c r="U63" s="59">
        <f t="shared" si="63"/>
        <v>4</v>
      </c>
      <c r="V63" s="60">
        <f t="shared" si="63"/>
        <v>6</v>
      </c>
      <c r="W63" s="21"/>
      <c r="X63" s="56">
        <f t="shared" si="60"/>
        <v>43</v>
      </c>
      <c r="Y63" s="56">
        <f t="shared" si="61"/>
        <v>42</v>
      </c>
      <c r="Z63" s="57">
        <f t="shared" si="62"/>
        <v>85</v>
      </c>
      <c r="AA63" s="61">
        <f>SUM(MIN(E63,E64),MIN(F63,F64),MIN(G63,G64),MIN(H63,H64),MIN(I63,I64),MIN(J63,J64),MIN(K63,K64),MIN(L63,L64),MIN(M63,M64))</f>
        <v>38</v>
      </c>
      <c r="AB63" s="59">
        <f>SUM(MIN(N63,N64),MIN(O63,O64),MIN(P63,P64),MIN(Q63,Q64),MIN(R63,R64),MIN(S63,S64),MIN(T63,T64),MIN(U63,U64),MIN(V63,V64))</f>
        <v>39</v>
      </c>
      <c r="AC63" s="7">
        <f t="shared" ref="AC63:AD63" si="64">IF(AA61&gt;AA63, 1, 0)</f>
        <v>1</v>
      </c>
      <c r="AD63" s="7">
        <f t="shared" si="64"/>
        <v>1</v>
      </c>
      <c r="AE63" s="84">
        <f>SUM(AC63,AD63)</f>
        <v>2</v>
      </c>
      <c r="AF63" s="98" t="s">
        <v>7</v>
      </c>
    </row>
    <row r="64">
      <c r="C64" s="52"/>
      <c r="D64" s="21" t="str">
        <f t="shared" si="51"/>
        <v>Vince</v>
      </c>
      <c r="E64" s="59">
        <f t="shared" ref="E64:V64" si="65">E24-E44</f>
        <v>4</v>
      </c>
      <c r="F64" s="59">
        <f t="shared" si="65"/>
        <v>3</v>
      </c>
      <c r="G64" s="59">
        <f t="shared" si="65"/>
        <v>5</v>
      </c>
      <c r="H64" s="59">
        <f t="shared" si="65"/>
        <v>5</v>
      </c>
      <c r="I64" s="59">
        <f t="shared" si="65"/>
        <v>4</v>
      </c>
      <c r="J64" s="59">
        <f t="shared" si="65"/>
        <v>7</v>
      </c>
      <c r="K64" s="59">
        <f t="shared" si="65"/>
        <v>3</v>
      </c>
      <c r="L64" s="59">
        <f t="shared" si="65"/>
        <v>5</v>
      </c>
      <c r="M64" s="60">
        <f t="shared" si="65"/>
        <v>5</v>
      </c>
      <c r="N64" s="61">
        <f t="shared" si="65"/>
        <v>4</v>
      </c>
      <c r="O64" s="59">
        <f t="shared" si="65"/>
        <v>2</v>
      </c>
      <c r="P64" s="59">
        <f t="shared" si="65"/>
        <v>3</v>
      </c>
      <c r="Q64" s="59">
        <f t="shared" si="65"/>
        <v>6</v>
      </c>
      <c r="R64" s="59">
        <f t="shared" si="65"/>
        <v>5</v>
      </c>
      <c r="S64" s="59">
        <f t="shared" si="65"/>
        <v>5</v>
      </c>
      <c r="T64" s="59">
        <f t="shared" si="65"/>
        <v>5</v>
      </c>
      <c r="U64" s="59">
        <f t="shared" si="65"/>
        <v>4</v>
      </c>
      <c r="V64" s="60">
        <f t="shared" si="65"/>
        <v>5</v>
      </c>
      <c r="W64" s="21"/>
      <c r="X64" s="56">
        <f t="shared" si="60"/>
        <v>41</v>
      </c>
      <c r="Y64" s="56">
        <f t="shared" si="61"/>
        <v>39</v>
      </c>
      <c r="Z64" s="57">
        <f t="shared" si="62"/>
        <v>80</v>
      </c>
      <c r="AA64" s="26"/>
      <c r="AF64" s="27"/>
    </row>
    <row r="65">
      <c r="C65" s="58"/>
      <c r="D65" s="21" t="str">
        <f t="shared" si="51"/>
        <v/>
      </c>
      <c r="M65" s="27"/>
      <c r="N65" s="26"/>
      <c r="V65" s="27"/>
      <c r="W65" s="21"/>
      <c r="X65" s="62"/>
      <c r="Y65" s="62"/>
      <c r="Z65" s="63"/>
      <c r="AA65" s="26"/>
      <c r="AF65" s="27"/>
    </row>
    <row r="66">
      <c r="C66" s="85" t="s">
        <v>64</v>
      </c>
      <c r="D66" s="21" t="str">
        <f t="shared" si="51"/>
        <v>Kyle</v>
      </c>
      <c r="E66" s="59">
        <f t="shared" ref="E66:V66" si="66">E26-E46</f>
        <v>7</v>
      </c>
      <c r="F66" s="59">
        <f t="shared" si="66"/>
        <v>7</v>
      </c>
      <c r="G66" s="59">
        <f t="shared" si="66"/>
        <v>1</v>
      </c>
      <c r="H66" s="59">
        <f t="shared" si="66"/>
        <v>3</v>
      </c>
      <c r="I66" s="59">
        <f t="shared" si="66"/>
        <v>5</v>
      </c>
      <c r="J66" s="59">
        <f t="shared" si="66"/>
        <v>3</v>
      </c>
      <c r="K66" s="59">
        <f t="shared" si="66"/>
        <v>8</v>
      </c>
      <c r="L66" s="59">
        <f t="shared" si="66"/>
        <v>9</v>
      </c>
      <c r="M66" s="60">
        <f t="shared" si="66"/>
        <v>5</v>
      </c>
      <c r="N66" s="61">
        <f t="shared" si="66"/>
        <v>4</v>
      </c>
      <c r="O66" s="59">
        <f t="shared" si="66"/>
        <v>8</v>
      </c>
      <c r="P66" s="59">
        <f t="shared" si="66"/>
        <v>3</v>
      </c>
      <c r="Q66" s="59">
        <f t="shared" si="66"/>
        <v>2</v>
      </c>
      <c r="R66" s="59">
        <f t="shared" si="66"/>
        <v>6</v>
      </c>
      <c r="S66" s="59">
        <f t="shared" si="66"/>
        <v>5</v>
      </c>
      <c r="T66" s="59">
        <f t="shared" si="66"/>
        <v>1</v>
      </c>
      <c r="U66" s="59">
        <f t="shared" si="66"/>
        <v>8</v>
      </c>
      <c r="V66" s="60">
        <f t="shared" si="66"/>
        <v>8</v>
      </c>
      <c r="W66" s="21"/>
      <c r="X66" s="56">
        <f t="shared" ref="X66:X69" si="69">SUM(E66:M66)</f>
        <v>48</v>
      </c>
      <c r="Y66" s="56">
        <f t="shared" ref="Y66:Y69" si="70">SUM(N66:V66)</f>
        <v>45</v>
      </c>
      <c r="Z66" s="57">
        <f t="shared" ref="Z66:Z69" si="71">sum(X66,Y66)</f>
        <v>93</v>
      </c>
      <c r="AA66" s="68">
        <f>SUM(MIN(E66,E67),MIN(F66,F67),MIN(G66,G67),MIN(H66,H67),MIN(I66,I67),MIN(J66,J67),MIN(K66,K67),MIN(L66,L67),MIN(M66,M67))</f>
        <v>39</v>
      </c>
      <c r="AB66" s="66">
        <f>SUM(MIN(N66,N67),MIN(O66,O67),MIN(P66,P67),MIN(Q66,Q67),MIN(R66,R67),MIN(S66,S67),MIN(T66,T67),MIN(U66,U67),MIN(V66,V67))</f>
        <v>32</v>
      </c>
      <c r="AC66" s="99">
        <f t="shared" ref="AC66:AD66" si="67">IF(AA66&lt;AA68, 1, 0)</f>
        <v>0</v>
      </c>
      <c r="AD66" s="99">
        <f t="shared" si="67"/>
        <v>0</v>
      </c>
      <c r="AE66" s="84">
        <f>SUM(AC66,AD66)</f>
        <v>0</v>
      </c>
      <c r="AF66" s="98" t="s">
        <v>6</v>
      </c>
    </row>
    <row r="67">
      <c r="C67" s="52"/>
      <c r="D67" s="21" t="str">
        <f t="shared" si="51"/>
        <v>James</v>
      </c>
      <c r="E67" s="59">
        <f t="shared" ref="E67:V67" si="68">E27-E47</f>
        <v>7</v>
      </c>
      <c r="F67" s="59">
        <f t="shared" si="68"/>
        <v>7</v>
      </c>
      <c r="G67" s="59">
        <f t="shared" si="68"/>
        <v>8</v>
      </c>
      <c r="H67" s="59">
        <f t="shared" si="68"/>
        <v>2</v>
      </c>
      <c r="I67" s="59">
        <f t="shared" si="68"/>
        <v>4</v>
      </c>
      <c r="J67" s="59">
        <f t="shared" si="68"/>
        <v>3</v>
      </c>
      <c r="K67" s="59">
        <f t="shared" si="68"/>
        <v>3</v>
      </c>
      <c r="L67" s="59">
        <f t="shared" si="68"/>
        <v>7</v>
      </c>
      <c r="M67" s="60">
        <f t="shared" si="68"/>
        <v>7</v>
      </c>
      <c r="N67" s="61">
        <f t="shared" si="68"/>
        <v>5</v>
      </c>
      <c r="O67" s="59">
        <f t="shared" si="68"/>
        <v>2</v>
      </c>
      <c r="P67" s="59">
        <f t="shared" si="68"/>
        <v>4</v>
      </c>
      <c r="Q67" s="59">
        <f t="shared" si="68"/>
        <v>6</v>
      </c>
      <c r="R67" s="59">
        <f t="shared" si="68"/>
        <v>6</v>
      </c>
      <c r="S67" s="59">
        <f t="shared" si="68"/>
        <v>6</v>
      </c>
      <c r="T67" s="59">
        <f t="shared" si="68"/>
        <v>6</v>
      </c>
      <c r="U67" s="59">
        <f t="shared" si="68"/>
        <v>4</v>
      </c>
      <c r="V67" s="60">
        <f t="shared" si="68"/>
        <v>5</v>
      </c>
      <c r="W67" s="21"/>
      <c r="X67" s="56">
        <f t="shared" si="69"/>
        <v>48</v>
      </c>
      <c r="Y67" s="56">
        <f t="shared" si="70"/>
        <v>44</v>
      </c>
      <c r="Z67" s="57">
        <f t="shared" si="71"/>
        <v>92</v>
      </c>
      <c r="AA67" s="100"/>
      <c r="AB67" s="101"/>
      <c r="AC67" s="101"/>
      <c r="AD67" s="101"/>
      <c r="AF67" s="27"/>
    </row>
    <row r="68">
      <c r="C68" s="52"/>
      <c r="D68" s="21" t="str">
        <f t="shared" si="51"/>
        <v>Dillon</v>
      </c>
      <c r="E68" s="59">
        <f t="shared" ref="E68:V68" si="72">E28-E48</f>
        <v>2</v>
      </c>
      <c r="F68" s="59">
        <f t="shared" si="72"/>
        <v>6</v>
      </c>
      <c r="G68" s="59">
        <f t="shared" si="72"/>
        <v>1</v>
      </c>
      <c r="H68" s="59">
        <f t="shared" si="72"/>
        <v>1</v>
      </c>
      <c r="I68" s="59">
        <f t="shared" si="72"/>
        <v>6</v>
      </c>
      <c r="J68" s="59">
        <f t="shared" si="72"/>
        <v>2</v>
      </c>
      <c r="K68" s="59">
        <f t="shared" si="72"/>
        <v>9</v>
      </c>
      <c r="L68" s="59">
        <f t="shared" si="72"/>
        <v>2</v>
      </c>
      <c r="M68" s="60">
        <f t="shared" si="72"/>
        <v>7</v>
      </c>
      <c r="N68" s="61">
        <f t="shared" si="72"/>
        <v>7</v>
      </c>
      <c r="O68" s="59">
        <f t="shared" si="72"/>
        <v>1</v>
      </c>
      <c r="P68" s="59">
        <f t="shared" si="72"/>
        <v>2</v>
      </c>
      <c r="Q68" s="59">
        <f t="shared" si="72"/>
        <v>1</v>
      </c>
      <c r="R68" s="59">
        <f t="shared" si="72"/>
        <v>4</v>
      </c>
      <c r="S68" s="59">
        <f t="shared" si="72"/>
        <v>1</v>
      </c>
      <c r="T68" s="59">
        <f t="shared" si="72"/>
        <v>4</v>
      </c>
      <c r="U68" s="59">
        <f t="shared" si="72"/>
        <v>5</v>
      </c>
      <c r="V68" s="60">
        <f t="shared" si="72"/>
        <v>6</v>
      </c>
      <c r="W68" s="21"/>
      <c r="X68" s="56">
        <f t="shared" si="69"/>
        <v>36</v>
      </c>
      <c r="Y68" s="56">
        <f t="shared" si="70"/>
        <v>31</v>
      </c>
      <c r="Z68" s="57">
        <f t="shared" si="71"/>
        <v>67</v>
      </c>
      <c r="AA68" s="68">
        <f>SUM(MIN(E68,E69),MIN(F68,F69),MIN(G68,G69),MIN(H68,H69),MIN(I68,I69),MIN(J68,J69),MIN(K68,K69),MIN(L68,L69),MIN(M68,M69))</f>
        <v>29</v>
      </c>
      <c r="AB68" s="66">
        <f>SUM(MIN(N68,N69),MIN(O68,O69),MIN(P68,P69),MIN(Q68,Q69),MIN(R68,R69),MIN(S68,S69),MIN(T68,T69),MIN(U68,U69),MIN(V68,V69))</f>
        <v>23</v>
      </c>
      <c r="AC68" s="99">
        <f t="shared" ref="AC68:AD68" si="73">IF(AA66&gt;AA68, 1, 0)</f>
        <v>1</v>
      </c>
      <c r="AD68" s="99">
        <f t="shared" si="73"/>
        <v>1</v>
      </c>
      <c r="AE68" s="84">
        <f>SUM(AC68,AD68)</f>
        <v>2</v>
      </c>
      <c r="AF68" s="98" t="s">
        <v>7</v>
      </c>
    </row>
    <row r="69">
      <c r="C69" s="52"/>
      <c r="D69" s="21" t="str">
        <f t="shared" si="51"/>
        <v>Juan</v>
      </c>
      <c r="E69" s="59">
        <f t="shared" ref="E69:V69" si="74">E29-E49</f>
        <v>7</v>
      </c>
      <c r="F69" s="59">
        <f t="shared" si="74"/>
        <v>3</v>
      </c>
      <c r="G69" s="59">
        <f t="shared" si="74"/>
        <v>3</v>
      </c>
      <c r="H69" s="59">
        <f t="shared" si="74"/>
        <v>5</v>
      </c>
      <c r="I69" s="59">
        <f t="shared" si="74"/>
        <v>7</v>
      </c>
      <c r="J69" s="59">
        <f t="shared" si="74"/>
        <v>8</v>
      </c>
      <c r="K69" s="59">
        <f t="shared" si="74"/>
        <v>8</v>
      </c>
      <c r="L69" s="59">
        <f t="shared" si="74"/>
        <v>7</v>
      </c>
      <c r="M69" s="60">
        <f t="shared" si="74"/>
        <v>4</v>
      </c>
      <c r="N69" s="61">
        <f t="shared" si="74"/>
        <v>4</v>
      </c>
      <c r="O69" s="59">
        <f t="shared" si="74"/>
        <v>7</v>
      </c>
      <c r="P69" s="59">
        <f t="shared" si="74"/>
        <v>5</v>
      </c>
      <c r="Q69" s="59">
        <f t="shared" si="74"/>
        <v>8</v>
      </c>
      <c r="R69" s="59">
        <f t="shared" si="74"/>
        <v>4</v>
      </c>
      <c r="S69" s="59">
        <f t="shared" si="74"/>
        <v>8</v>
      </c>
      <c r="T69" s="59">
        <f t="shared" si="74"/>
        <v>8</v>
      </c>
      <c r="U69" s="59">
        <f t="shared" si="74"/>
        <v>2</v>
      </c>
      <c r="V69" s="60">
        <f t="shared" si="74"/>
        <v>4</v>
      </c>
      <c r="W69" s="21"/>
      <c r="X69" s="56">
        <f t="shared" si="69"/>
        <v>52</v>
      </c>
      <c r="Y69" s="56">
        <f t="shared" si="70"/>
        <v>50</v>
      </c>
      <c r="Z69" s="57">
        <f t="shared" si="71"/>
        <v>102</v>
      </c>
      <c r="AA69" s="100"/>
      <c r="AB69" s="101"/>
      <c r="AF69" s="27"/>
    </row>
    <row r="70">
      <c r="C70" s="58"/>
      <c r="D70" s="21" t="str">
        <f t="shared" si="51"/>
        <v/>
      </c>
      <c r="M70" s="27"/>
      <c r="N70" s="26"/>
      <c r="V70" s="27"/>
      <c r="W70" s="21"/>
      <c r="X70" s="62"/>
      <c r="Y70" s="62"/>
      <c r="Z70" s="63"/>
      <c r="AA70" s="26"/>
      <c r="AF70" s="27"/>
    </row>
    <row r="71">
      <c r="C71" s="85" t="s">
        <v>64</v>
      </c>
      <c r="D71" s="21" t="str">
        <f t="shared" si="51"/>
        <v>Dan</v>
      </c>
      <c r="E71" s="59">
        <f t="shared" ref="E71:V71" si="75">E31-E51</f>
        <v>4</v>
      </c>
      <c r="F71" s="59">
        <f t="shared" si="75"/>
        <v>3</v>
      </c>
      <c r="G71" s="59">
        <f t="shared" si="75"/>
        <v>2</v>
      </c>
      <c r="H71" s="59">
        <f t="shared" si="75"/>
        <v>4</v>
      </c>
      <c r="I71" s="59">
        <f t="shared" si="75"/>
        <v>3</v>
      </c>
      <c r="J71" s="59">
        <f t="shared" si="75"/>
        <v>5</v>
      </c>
      <c r="K71" s="59">
        <f t="shared" si="75"/>
        <v>3</v>
      </c>
      <c r="L71" s="59">
        <f t="shared" si="75"/>
        <v>4</v>
      </c>
      <c r="M71" s="60">
        <f t="shared" si="75"/>
        <v>4</v>
      </c>
      <c r="N71" s="61">
        <f t="shared" si="75"/>
        <v>3</v>
      </c>
      <c r="O71" s="59">
        <f t="shared" si="75"/>
        <v>3</v>
      </c>
      <c r="P71" s="59">
        <f t="shared" si="75"/>
        <v>4</v>
      </c>
      <c r="Q71" s="59">
        <f t="shared" si="75"/>
        <v>4</v>
      </c>
      <c r="R71" s="59">
        <f t="shared" si="75"/>
        <v>3</v>
      </c>
      <c r="S71" s="59">
        <f t="shared" si="75"/>
        <v>5</v>
      </c>
      <c r="T71" s="59">
        <f t="shared" si="75"/>
        <v>6</v>
      </c>
      <c r="U71" s="59">
        <f t="shared" si="75"/>
        <v>3</v>
      </c>
      <c r="V71" s="60">
        <f t="shared" si="75"/>
        <v>4</v>
      </c>
      <c r="W71" s="21"/>
      <c r="X71" s="56">
        <f t="shared" ref="X71:X74" si="78">SUM(E71:M71)</f>
        <v>32</v>
      </c>
      <c r="Y71" s="56">
        <f t="shared" ref="Y71:Y74" si="79">SUM(N71:V71)</f>
        <v>35</v>
      </c>
      <c r="Z71" s="57">
        <f t="shared" ref="Z71:Z74" si="80">sum(X71,Y71)</f>
        <v>67</v>
      </c>
      <c r="AA71" s="68">
        <f>SUM(MIN(E71,E72),MIN(F71,F72),MIN(G71,G72),MIN(H71,H72),MIN(I71,I72),MIN(J71,J72),MIN(K71,K72),MIN(L71,L72),MIN(M71,M72))</f>
        <v>30</v>
      </c>
      <c r="AB71" s="66">
        <f>SUM(MIN(N71,N72),MIN(O71,O72),MIN(P71,P72),MIN(Q71,Q72),MIN(R71,R72),MIN(S71,S72),MIN(T71,T72),MIN(U71,U72),MIN(V71,V72))</f>
        <v>33</v>
      </c>
      <c r="AC71" s="99">
        <f t="shared" ref="AC71:AD71" si="76">IF(AA71&lt;AA73, 1, 0)</f>
        <v>1</v>
      </c>
      <c r="AD71" s="99">
        <f t="shared" si="76"/>
        <v>0</v>
      </c>
      <c r="AE71" s="84">
        <f>SUM(AC71,AD71)</f>
        <v>1</v>
      </c>
      <c r="AF71" s="98" t="s">
        <v>6</v>
      </c>
    </row>
    <row r="72">
      <c r="C72" s="52"/>
      <c r="D72" s="21" t="str">
        <f t="shared" si="51"/>
        <v>Jon</v>
      </c>
      <c r="E72" s="59">
        <f t="shared" ref="E72:V72" si="77">E32-E52</f>
        <v>3</v>
      </c>
      <c r="F72" s="59">
        <f t="shared" si="77"/>
        <v>5</v>
      </c>
      <c r="G72" s="59">
        <f t="shared" si="77"/>
        <v>4</v>
      </c>
      <c r="H72" s="59">
        <f t="shared" si="77"/>
        <v>6</v>
      </c>
      <c r="I72" s="59">
        <f t="shared" si="77"/>
        <v>5</v>
      </c>
      <c r="J72" s="59">
        <f t="shared" si="77"/>
        <v>5</v>
      </c>
      <c r="K72" s="59">
        <f t="shared" si="77"/>
        <v>3</v>
      </c>
      <c r="L72" s="59">
        <f t="shared" si="77"/>
        <v>3</v>
      </c>
      <c r="M72" s="60">
        <f t="shared" si="77"/>
        <v>4</v>
      </c>
      <c r="N72" s="61">
        <f t="shared" si="77"/>
        <v>4</v>
      </c>
      <c r="O72" s="59">
        <f t="shared" si="77"/>
        <v>3</v>
      </c>
      <c r="P72" s="59">
        <f t="shared" si="77"/>
        <v>4</v>
      </c>
      <c r="Q72" s="59">
        <f t="shared" si="77"/>
        <v>7</v>
      </c>
      <c r="R72" s="59">
        <f t="shared" si="77"/>
        <v>3</v>
      </c>
      <c r="S72" s="59">
        <f t="shared" si="77"/>
        <v>5</v>
      </c>
      <c r="T72" s="59">
        <f t="shared" si="77"/>
        <v>5</v>
      </c>
      <c r="U72" s="59">
        <f t="shared" si="77"/>
        <v>2</v>
      </c>
      <c r="V72" s="60">
        <f t="shared" si="77"/>
        <v>5</v>
      </c>
      <c r="W72" s="21"/>
      <c r="X72" s="56">
        <f t="shared" si="78"/>
        <v>38</v>
      </c>
      <c r="Y72" s="56">
        <f t="shared" si="79"/>
        <v>38</v>
      </c>
      <c r="Z72" s="57">
        <f t="shared" si="80"/>
        <v>76</v>
      </c>
      <c r="AA72" s="100"/>
      <c r="AB72" s="101"/>
      <c r="AC72" s="101"/>
      <c r="AD72" s="101"/>
      <c r="AF72" s="27"/>
    </row>
    <row r="73">
      <c r="C73" s="52"/>
      <c r="D73" s="21" t="str">
        <f t="shared" si="51"/>
        <v>JoePa</v>
      </c>
      <c r="E73" s="59">
        <f t="shared" ref="E73:V73" si="81">E33-E53</f>
        <v>4</v>
      </c>
      <c r="F73" s="59">
        <f t="shared" si="81"/>
        <v>4</v>
      </c>
      <c r="G73" s="59">
        <f t="shared" si="81"/>
        <v>3</v>
      </c>
      <c r="H73" s="59">
        <f t="shared" si="81"/>
        <v>4</v>
      </c>
      <c r="I73" s="59">
        <f t="shared" si="81"/>
        <v>4</v>
      </c>
      <c r="J73" s="59">
        <f t="shared" si="81"/>
        <v>5</v>
      </c>
      <c r="K73" s="59">
        <f t="shared" si="81"/>
        <v>4</v>
      </c>
      <c r="L73" s="59">
        <f t="shared" si="81"/>
        <v>4</v>
      </c>
      <c r="M73" s="60">
        <f t="shared" si="81"/>
        <v>6</v>
      </c>
      <c r="N73" s="61">
        <f t="shared" si="81"/>
        <v>4</v>
      </c>
      <c r="O73" s="59">
        <f t="shared" si="81"/>
        <v>5</v>
      </c>
      <c r="P73" s="59">
        <f t="shared" si="81"/>
        <v>3</v>
      </c>
      <c r="Q73" s="59">
        <f t="shared" si="81"/>
        <v>5</v>
      </c>
      <c r="R73" s="59">
        <f t="shared" si="81"/>
        <v>4</v>
      </c>
      <c r="S73" s="59">
        <f t="shared" si="81"/>
        <v>5</v>
      </c>
      <c r="T73" s="59">
        <f t="shared" si="81"/>
        <v>5</v>
      </c>
      <c r="U73" s="59">
        <f t="shared" si="81"/>
        <v>4</v>
      </c>
      <c r="V73" s="60">
        <f t="shared" si="81"/>
        <v>4</v>
      </c>
      <c r="W73" s="21"/>
      <c r="X73" s="56">
        <f t="shared" si="78"/>
        <v>38</v>
      </c>
      <c r="Y73" s="56">
        <f t="shared" si="79"/>
        <v>39</v>
      </c>
      <c r="Z73" s="57">
        <f t="shared" si="80"/>
        <v>77</v>
      </c>
      <c r="AA73" s="102">
        <f>SUM(MIN(E73,E74),MIN(F73,F74),MIN(G73,G74),MIN(H73,H74),MIN(I73,I74),MIN(J73,J74),MIN(K73,K74),MIN(L73,L74),MIN(M73,M74))</f>
        <v>35</v>
      </c>
      <c r="AB73" s="103">
        <f>SUM(MIN(N73,N74),MIN(O73,O74),MIN(P73,P74),MIN(Q73,Q74),MIN(R73,R74),MIN(S73,S74),MIN(T73,T74),MIN(U73,U74),MIN(V73,V74))</f>
        <v>33</v>
      </c>
      <c r="AC73" s="104">
        <f t="shared" ref="AC73:AD73" si="82">IF(AA71&gt;AA73, 1, 0)</f>
        <v>0</v>
      </c>
      <c r="AD73" s="104">
        <f t="shared" si="82"/>
        <v>0</v>
      </c>
      <c r="AE73" s="86">
        <f>SUM(AC73,AD73)</f>
        <v>0</v>
      </c>
      <c r="AF73" s="105" t="s">
        <v>7</v>
      </c>
    </row>
    <row r="74">
      <c r="C74" s="72"/>
      <c r="D74" s="31" t="str">
        <f t="shared" si="51"/>
        <v>Corey</v>
      </c>
      <c r="E74" s="106">
        <f t="shared" ref="E74:V74" si="83">E34-E54</f>
        <v>4</v>
      </c>
      <c r="F74" s="106">
        <f t="shared" si="83"/>
        <v>4</v>
      </c>
      <c r="G74" s="106">
        <f t="shared" si="83"/>
        <v>6</v>
      </c>
      <c r="H74" s="106">
        <f t="shared" si="83"/>
        <v>5</v>
      </c>
      <c r="I74" s="106">
        <f t="shared" si="83"/>
        <v>4</v>
      </c>
      <c r="J74" s="106">
        <f t="shared" si="83"/>
        <v>5</v>
      </c>
      <c r="K74" s="106">
        <f t="shared" si="83"/>
        <v>3</v>
      </c>
      <c r="L74" s="106">
        <f t="shared" si="83"/>
        <v>5</v>
      </c>
      <c r="M74" s="107">
        <f t="shared" si="83"/>
        <v>4</v>
      </c>
      <c r="N74" s="108">
        <f t="shared" si="83"/>
        <v>4</v>
      </c>
      <c r="O74" s="106">
        <f t="shared" si="83"/>
        <v>4</v>
      </c>
      <c r="P74" s="106">
        <f t="shared" si="83"/>
        <v>4</v>
      </c>
      <c r="Q74" s="106">
        <f t="shared" si="83"/>
        <v>4</v>
      </c>
      <c r="R74" s="106">
        <f t="shared" si="83"/>
        <v>3</v>
      </c>
      <c r="S74" s="106">
        <f t="shared" si="83"/>
        <v>3</v>
      </c>
      <c r="T74" s="106">
        <f t="shared" si="83"/>
        <v>5</v>
      </c>
      <c r="U74" s="106">
        <f t="shared" si="83"/>
        <v>3</v>
      </c>
      <c r="V74" s="107">
        <f t="shared" si="83"/>
        <v>4</v>
      </c>
      <c r="W74" s="21"/>
      <c r="X74" s="77">
        <f t="shared" si="78"/>
        <v>40</v>
      </c>
      <c r="Y74" s="77">
        <f t="shared" si="79"/>
        <v>34</v>
      </c>
      <c r="Z74" s="78">
        <f t="shared" si="80"/>
        <v>74</v>
      </c>
      <c r="AA74" s="101"/>
      <c r="AB74" s="101"/>
    </row>
    <row r="75">
      <c r="M75" s="27"/>
      <c r="N75" s="26"/>
      <c r="X75" s="81"/>
      <c r="Y75" s="92" t="s">
        <v>42</v>
      </c>
      <c r="Z75" s="93" t="s">
        <v>43</v>
      </c>
    </row>
    <row r="76">
      <c r="C76" s="109" t="s">
        <v>65</v>
      </c>
      <c r="D76" s="110" t="s">
        <v>66</v>
      </c>
      <c r="E76" s="95">
        <f t="shared" ref="E76:V76" si="84">MIN(E56,E57)</f>
        <v>4</v>
      </c>
      <c r="F76" s="95">
        <f t="shared" si="84"/>
        <v>4</v>
      </c>
      <c r="G76" s="95">
        <f t="shared" si="84"/>
        <v>3</v>
      </c>
      <c r="H76" s="95">
        <f t="shared" si="84"/>
        <v>3</v>
      </c>
      <c r="I76" s="95">
        <f t="shared" si="84"/>
        <v>4</v>
      </c>
      <c r="J76" s="95">
        <f t="shared" si="84"/>
        <v>4</v>
      </c>
      <c r="K76" s="95">
        <f t="shared" si="84"/>
        <v>3</v>
      </c>
      <c r="L76" s="95">
        <f t="shared" si="84"/>
        <v>4</v>
      </c>
      <c r="M76" s="96">
        <f t="shared" si="84"/>
        <v>6</v>
      </c>
      <c r="N76" s="97">
        <f t="shared" si="84"/>
        <v>4</v>
      </c>
      <c r="O76" s="95">
        <f t="shared" si="84"/>
        <v>3</v>
      </c>
      <c r="P76" s="95">
        <f t="shared" si="84"/>
        <v>3</v>
      </c>
      <c r="Q76" s="95">
        <f t="shared" si="84"/>
        <v>5</v>
      </c>
      <c r="R76" s="95">
        <f t="shared" si="84"/>
        <v>4</v>
      </c>
      <c r="S76" s="95">
        <f t="shared" si="84"/>
        <v>3</v>
      </c>
      <c r="T76" s="95">
        <f t="shared" si="84"/>
        <v>3</v>
      </c>
      <c r="U76" s="95">
        <f t="shared" si="84"/>
        <v>2</v>
      </c>
      <c r="V76" s="95">
        <f t="shared" si="84"/>
        <v>5</v>
      </c>
      <c r="W76" s="21"/>
      <c r="X76" s="111" t="s">
        <v>67</v>
      </c>
      <c r="Y76" s="84">
        <f>COUNTIF(E78:M78, "Spartan Dawgs")</f>
        <v>2</v>
      </c>
      <c r="Z76" s="27">
        <f>COUNTIF(N78:V78, "Invited Guests")</f>
        <v>2</v>
      </c>
      <c r="AA76" s="112"/>
    </row>
    <row r="77">
      <c r="C77" s="26"/>
      <c r="D77" s="7" t="s">
        <v>68</v>
      </c>
      <c r="E77" s="59">
        <f t="shared" ref="E77:V77" si="85">MIN(E58,E59)</f>
        <v>3</v>
      </c>
      <c r="F77" s="59">
        <f t="shared" si="85"/>
        <v>4</v>
      </c>
      <c r="G77" s="59">
        <f t="shared" si="85"/>
        <v>4</v>
      </c>
      <c r="H77" s="59">
        <f t="shared" si="85"/>
        <v>6</v>
      </c>
      <c r="I77" s="59">
        <f t="shared" si="85"/>
        <v>4</v>
      </c>
      <c r="J77" s="59">
        <f t="shared" si="85"/>
        <v>4</v>
      </c>
      <c r="K77" s="59">
        <f t="shared" si="85"/>
        <v>3</v>
      </c>
      <c r="L77" s="59">
        <f t="shared" si="85"/>
        <v>4</v>
      </c>
      <c r="M77" s="60">
        <f t="shared" si="85"/>
        <v>4</v>
      </c>
      <c r="N77" s="61">
        <f t="shared" si="85"/>
        <v>4</v>
      </c>
      <c r="O77" s="59">
        <f t="shared" si="85"/>
        <v>3</v>
      </c>
      <c r="P77" s="59">
        <f t="shared" si="85"/>
        <v>4</v>
      </c>
      <c r="Q77" s="59">
        <f t="shared" si="85"/>
        <v>6</v>
      </c>
      <c r="R77" s="59">
        <f t="shared" si="85"/>
        <v>3</v>
      </c>
      <c r="S77" s="59">
        <f t="shared" si="85"/>
        <v>3</v>
      </c>
      <c r="T77" s="59">
        <f t="shared" si="85"/>
        <v>4</v>
      </c>
      <c r="U77" s="59">
        <f t="shared" si="85"/>
        <v>3</v>
      </c>
      <c r="V77" s="59">
        <f t="shared" si="85"/>
        <v>4</v>
      </c>
      <c r="X77" s="111" t="s">
        <v>69</v>
      </c>
      <c r="Y77" s="84">
        <f>COUNTIF(N78:V78, "Spartan Dawgs")</f>
        <v>4</v>
      </c>
      <c r="Z77" s="27">
        <f>COUNTIF(N78:V78, "Invited Guests")</f>
        <v>2</v>
      </c>
    </row>
    <row r="78">
      <c r="C78" s="26"/>
      <c r="D78" s="7" t="s">
        <v>70</v>
      </c>
      <c r="E78" s="84" t="str">
        <f t="shared" ref="E78:V78" si="86">IF(E76&lt;E77, "Spartan Dawgs", IF(E76&gt;E77, "Invited Guests", "No Blood"))</f>
        <v>Invited Guests</v>
      </c>
      <c r="F78" s="84" t="str">
        <f t="shared" si="86"/>
        <v>No Blood</v>
      </c>
      <c r="G78" s="84" t="str">
        <f t="shared" si="86"/>
        <v>Spartan Dawgs</v>
      </c>
      <c r="H78" s="84" t="str">
        <f t="shared" si="86"/>
        <v>Spartan Dawgs</v>
      </c>
      <c r="I78" s="84" t="str">
        <f t="shared" si="86"/>
        <v>No Blood</v>
      </c>
      <c r="J78" s="84" t="str">
        <f t="shared" si="86"/>
        <v>No Blood</v>
      </c>
      <c r="K78" s="84" t="str">
        <f t="shared" si="86"/>
        <v>No Blood</v>
      </c>
      <c r="L78" s="84" t="str">
        <f t="shared" si="86"/>
        <v>No Blood</v>
      </c>
      <c r="M78" s="27" t="str">
        <f t="shared" si="86"/>
        <v>Invited Guests</v>
      </c>
      <c r="N78" s="26" t="str">
        <f t="shared" si="86"/>
        <v>No Blood</v>
      </c>
      <c r="O78" s="84" t="str">
        <f t="shared" si="86"/>
        <v>No Blood</v>
      </c>
      <c r="P78" s="84" t="str">
        <f t="shared" si="86"/>
        <v>Spartan Dawgs</v>
      </c>
      <c r="Q78" s="84" t="str">
        <f t="shared" si="86"/>
        <v>Spartan Dawgs</v>
      </c>
      <c r="R78" s="84" t="str">
        <f t="shared" si="86"/>
        <v>Invited Guests</v>
      </c>
      <c r="S78" s="84" t="str">
        <f t="shared" si="86"/>
        <v>No Blood</v>
      </c>
      <c r="T78" s="84" t="str">
        <f t="shared" si="86"/>
        <v>Spartan Dawgs</v>
      </c>
      <c r="U78" s="84" t="str">
        <f t="shared" si="86"/>
        <v>Spartan Dawgs</v>
      </c>
      <c r="V78" s="84" t="str">
        <f t="shared" si="86"/>
        <v>Invited Guests</v>
      </c>
      <c r="X78" s="113" t="s">
        <v>71</v>
      </c>
      <c r="Y78" s="86">
        <f>IF(Y76&gt;Z76, 1, IF(Y76&lt;Z76, 0, 0.5))</f>
        <v>0.5</v>
      </c>
      <c r="Z78" s="87">
        <f>IF(Z76&lt;Y76, 1, IF(Z76&gt;Y76, 0, 0.5))</f>
        <v>0.5</v>
      </c>
    </row>
    <row r="79">
      <c r="C79" s="88"/>
      <c r="D79" s="86"/>
      <c r="E79" s="86"/>
      <c r="F79" s="86"/>
      <c r="G79" s="86"/>
      <c r="H79" s="86"/>
      <c r="I79" s="86"/>
      <c r="J79" s="86"/>
      <c r="K79" s="86"/>
      <c r="L79" s="86"/>
      <c r="M79" s="87"/>
      <c r="N79" s="88"/>
      <c r="O79" s="86"/>
      <c r="P79" s="86"/>
      <c r="Q79" s="86"/>
      <c r="R79" s="86"/>
      <c r="S79" s="86"/>
      <c r="T79" s="86"/>
      <c r="U79" s="86"/>
      <c r="V79" s="86"/>
      <c r="X79" s="7" t="s">
        <v>72</v>
      </c>
    </row>
    <row r="80">
      <c r="M80" s="27"/>
      <c r="N80" s="26"/>
      <c r="X80" s="81"/>
      <c r="Y80" s="92" t="s">
        <v>42</v>
      </c>
      <c r="Z80" s="93" t="s">
        <v>43</v>
      </c>
    </row>
    <row r="81">
      <c r="C81" s="109" t="s">
        <v>73</v>
      </c>
      <c r="D81" s="110" t="s">
        <v>66</v>
      </c>
      <c r="E81" s="95">
        <f t="shared" ref="E81:V81" si="87">MIN(E61,E62)</f>
        <v>4</v>
      </c>
      <c r="F81" s="95">
        <f t="shared" si="87"/>
        <v>4</v>
      </c>
      <c r="G81" s="95">
        <f t="shared" si="87"/>
        <v>4</v>
      </c>
      <c r="H81" s="95">
        <f t="shared" si="87"/>
        <v>5</v>
      </c>
      <c r="I81" s="95">
        <f t="shared" si="87"/>
        <v>5</v>
      </c>
      <c r="J81" s="95">
        <f t="shared" si="87"/>
        <v>7</v>
      </c>
      <c r="K81" s="95">
        <f t="shared" si="87"/>
        <v>3</v>
      </c>
      <c r="L81" s="95">
        <f t="shared" si="87"/>
        <v>6</v>
      </c>
      <c r="M81" s="96">
        <f t="shared" si="87"/>
        <v>5</v>
      </c>
      <c r="N81" s="97">
        <f t="shared" si="87"/>
        <v>4</v>
      </c>
      <c r="O81" s="95">
        <f t="shared" si="87"/>
        <v>6</v>
      </c>
      <c r="P81" s="95">
        <f t="shared" si="87"/>
        <v>5</v>
      </c>
      <c r="Q81" s="95">
        <f t="shared" si="87"/>
        <v>5</v>
      </c>
      <c r="R81" s="95">
        <f t="shared" si="87"/>
        <v>4</v>
      </c>
      <c r="S81" s="95">
        <f t="shared" si="87"/>
        <v>3</v>
      </c>
      <c r="T81" s="95">
        <f t="shared" si="87"/>
        <v>5</v>
      </c>
      <c r="U81" s="95">
        <f t="shared" si="87"/>
        <v>3</v>
      </c>
      <c r="V81" s="95">
        <f t="shared" si="87"/>
        <v>5</v>
      </c>
      <c r="W81" s="21"/>
      <c r="X81" s="111" t="s">
        <v>67</v>
      </c>
      <c r="Y81" s="84">
        <f>COUNTIF(E83:M83, "Spartan Dawgs")</f>
        <v>1</v>
      </c>
      <c r="Z81" s="27">
        <f>COUNTIF(N83:V83, "Invited Guests")</f>
        <v>2</v>
      </c>
    </row>
    <row r="82">
      <c r="C82" s="26"/>
      <c r="D82" s="7" t="s">
        <v>68</v>
      </c>
      <c r="E82" s="59">
        <f t="shared" ref="E82:V82" si="88">MIN(E63,E64)</f>
        <v>4</v>
      </c>
      <c r="F82" s="59">
        <f t="shared" si="88"/>
        <v>2</v>
      </c>
      <c r="G82" s="59">
        <f t="shared" si="88"/>
        <v>5</v>
      </c>
      <c r="H82" s="59">
        <f t="shared" si="88"/>
        <v>5</v>
      </c>
      <c r="I82" s="59">
        <f t="shared" si="88"/>
        <v>4</v>
      </c>
      <c r="J82" s="59">
        <f t="shared" si="88"/>
        <v>6</v>
      </c>
      <c r="K82" s="59">
        <f t="shared" si="88"/>
        <v>3</v>
      </c>
      <c r="L82" s="59">
        <f t="shared" si="88"/>
        <v>4</v>
      </c>
      <c r="M82" s="60">
        <f t="shared" si="88"/>
        <v>5</v>
      </c>
      <c r="N82" s="61">
        <f t="shared" si="88"/>
        <v>4</v>
      </c>
      <c r="O82" s="59">
        <f t="shared" si="88"/>
        <v>2</v>
      </c>
      <c r="P82" s="59">
        <f t="shared" si="88"/>
        <v>3</v>
      </c>
      <c r="Q82" s="59">
        <f t="shared" si="88"/>
        <v>6</v>
      </c>
      <c r="R82" s="59">
        <f t="shared" si="88"/>
        <v>5</v>
      </c>
      <c r="S82" s="59">
        <f t="shared" si="88"/>
        <v>5</v>
      </c>
      <c r="T82" s="59">
        <f t="shared" si="88"/>
        <v>5</v>
      </c>
      <c r="U82" s="59">
        <f t="shared" si="88"/>
        <v>4</v>
      </c>
      <c r="V82" s="59">
        <f t="shared" si="88"/>
        <v>5</v>
      </c>
      <c r="X82" s="111" t="s">
        <v>69</v>
      </c>
      <c r="Y82" s="84">
        <f>COUNTIF(E83:M83, "Invited Guests")</f>
        <v>4</v>
      </c>
      <c r="Z82" s="27">
        <f>COUNTIF(N83:V83, "Invited Guests")</f>
        <v>2</v>
      </c>
    </row>
    <row r="83">
      <c r="C83" s="26"/>
      <c r="D83" s="7" t="s">
        <v>70</v>
      </c>
      <c r="E83" s="84" t="str">
        <f t="shared" ref="E83:V83" si="89">IF(E81&lt;E82, "Spartan Dawgs", IF(E81&gt;E82, "Invited Guests", "No Blood"))</f>
        <v>No Blood</v>
      </c>
      <c r="F83" s="84" t="str">
        <f t="shared" si="89"/>
        <v>Invited Guests</v>
      </c>
      <c r="G83" s="84" t="str">
        <f t="shared" si="89"/>
        <v>Spartan Dawgs</v>
      </c>
      <c r="H83" s="84" t="str">
        <f t="shared" si="89"/>
        <v>No Blood</v>
      </c>
      <c r="I83" s="84" t="str">
        <f t="shared" si="89"/>
        <v>Invited Guests</v>
      </c>
      <c r="J83" s="84" t="str">
        <f t="shared" si="89"/>
        <v>Invited Guests</v>
      </c>
      <c r="K83" s="84" t="str">
        <f t="shared" si="89"/>
        <v>No Blood</v>
      </c>
      <c r="L83" s="84" t="str">
        <f t="shared" si="89"/>
        <v>Invited Guests</v>
      </c>
      <c r="M83" s="27" t="str">
        <f t="shared" si="89"/>
        <v>No Blood</v>
      </c>
      <c r="N83" s="26" t="str">
        <f t="shared" si="89"/>
        <v>No Blood</v>
      </c>
      <c r="O83" s="84" t="str">
        <f t="shared" si="89"/>
        <v>Invited Guests</v>
      </c>
      <c r="P83" s="84" t="str">
        <f t="shared" si="89"/>
        <v>Invited Guests</v>
      </c>
      <c r="Q83" s="84" t="str">
        <f t="shared" si="89"/>
        <v>Spartan Dawgs</v>
      </c>
      <c r="R83" s="84" t="str">
        <f t="shared" si="89"/>
        <v>Spartan Dawgs</v>
      </c>
      <c r="S83" s="84" t="str">
        <f t="shared" si="89"/>
        <v>Spartan Dawgs</v>
      </c>
      <c r="T83" s="84" t="str">
        <f t="shared" si="89"/>
        <v>No Blood</v>
      </c>
      <c r="U83" s="84" t="str">
        <f t="shared" si="89"/>
        <v>Spartan Dawgs</v>
      </c>
      <c r="V83" s="84" t="str">
        <f t="shared" si="89"/>
        <v>No Blood</v>
      </c>
      <c r="X83" s="113" t="s">
        <v>74</v>
      </c>
      <c r="Y83" s="86">
        <f>IF(Y81&gt;Z81, 1, IF(Y81&lt;Z81, 0, 0.5))</f>
        <v>0</v>
      </c>
      <c r="Z83" s="87">
        <f>IF(Z81&gt;Y81, 1, IF(Z81&lt;Y81, 0, 0.5))</f>
        <v>1</v>
      </c>
    </row>
    <row r="84">
      <c r="C84" s="88"/>
      <c r="D84" s="86"/>
      <c r="E84" s="86"/>
      <c r="F84" s="86"/>
      <c r="G84" s="86"/>
      <c r="H84" s="86"/>
      <c r="I84" s="86"/>
      <c r="J84" s="86"/>
      <c r="K84" s="86"/>
      <c r="L84" s="86"/>
      <c r="M84" s="87"/>
      <c r="N84" s="88"/>
      <c r="O84" s="86"/>
      <c r="P84" s="86"/>
      <c r="Q84" s="86"/>
      <c r="R84" s="86"/>
      <c r="S84" s="86"/>
      <c r="T84" s="86"/>
      <c r="U84" s="86"/>
      <c r="V84" s="86"/>
    </row>
    <row r="85">
      <c r="M85" s="27"/>
      <c r="N85" s="26"/>
      <c r="X85" s="81"/>
      <c r="Y85" s="92" t="s">
        <v>42</v>
      </c>
      <c r="Z85" s="93" t="s">
        <v>43</v>
      </c>
    </row>
    <row r="86">
      <c r="C86" s="109" t="s">
        <v>75</v>
      </c>
      <c r="D86" s="110" t="s">
        <v>66</v>
      </c>
      <c r="E86" s="95">
        <f t="shared" ref="E86:V86" si="90">MIN(E66,E67)</f>
        <v>7</v>
      </c>
      <c r="F86" s="95">
        <f t="shared" si="90"/>
        <v>7</v>
      </c>
      <c r="G86" s="95">
        <f t="shared" si="90"/>
        <v>1</v>
      </c>
      <c r="H86" s="95">
        <f t="shared" si="90"/>
        <v>2</v>
      </c>
      <c r="I86" s="95">
        <f t="shared" si="90"/>
        <v>4</v>
      </c>
      <c r="J86" s="95">
        <f t="shared" si="90"/>
        <v>3</v>
      </c>
      <c r="K86" s="95">
        <f t="shared" si="90"/>
        <v>3</v>
      </c>
      <c r="L86" s="95">
        <f t="shared" si="90"/>
        <v>7</v>
      </c>
      <c r="M86" s="96">
        <f t="shared" si="90"/>
        <v>5</v>
      </c>
      <c r="N86" s="97">
        <f t="shared" si="90"/>
        <v>4</v>
      </c>
      <c r="O86" s="95">
        <f t="shared" si="90"/>
        <v>2</v>
      </c>
      <c r="P86" s="95">
        <f t="shared" si="90"/>
        <v>3</v>
      </c>
      <c r="Q86" s="95">
        <f t="shared" si="90"/>
        <v>2</v>
      </c>
      <c r="R86" s="95">
        <f t="shared" si="90"/>
        <v>6</v>
      </c>
      <c r="S86" s="95">
        <f t="shared" si="90"/>
        <v>5</v>
      </c>
      <c r="T86" s="95">
        <f t="shared" si="90"/>
        <v>1</v>
      </c>
      <c r="U86" s="95">
        <f t="shared" si="90"/>
        <v>4</v>
      </c>
      <c r="V86" s="96">
        <f t="shared" si="90"/>
        <v>5</v>
      </c>
      <c r="W86" s="21"/>
      <c r="X86" s="111" t="s">
        <v>67</v>
      </c>
      <c r="Y86" s="84">
        <f>COUNTIF(E88:M88, "Spartan Dawgs")</f>
        <v>2</v>
      </c>
      <c r="Z86" s="27">
        <f>COUNTIF(N88:V88, "Invited Guests")</f>
        <v>7</v>
      </c>
    </row>
    <row r="87">
      <c r="B87" s="7" t="s">
        <v>73</v>
      </c>
      <c r="C87" s="26"/>
      <c r="D87" s="7" t="s">
        <v>68</v>
      </c>
      <c r="E87" s="59">
        <f t="shared" ref="E87:V87" si="91">MIN(E68,E69)</f>
        <v>2</v>
      </c>
      <c r="F87" s="59">
        <f t="shared" si="91"/>
        <v>3</v>
      </c>
      <c r="G87" s="59">
        <f t="shared" si="91"/>
        <v>1</v>
      </c>
      <c r="H87" s="59">
        <f t="shared" si="91"/>
        <v>1</v>
      </c>
      <c r="I87" s="59">
        <f t="shared" si="91"/>
        <v>6</v>
      </c>
      <c r="J87" s="59">
        <f t="shared" si="91"/>
        <v>2</v>
      </c>
      <c r="K87" s="59">
        <f t="shared" si="91"/>
        <v>8</v>
      </c>
      <c r="L87" s="59">
        <f t="shared" si="91"/>
        <v>2</v>
      </c>
      <c r="M87" s="60">
        <f t="shared" si="91"/>
        <v>4</v>
      </c>
      <c r="N87" s="61">
        <f t="shared" si="91"/>
        <v>4</v>
      </c>
      <c r="O87" s="59">
        <f t="shared" si="91"/>
        <v>1</v>
      </c>
      <c r="P87" s="59">
        <f t="shared" si="91"/>
        <v>2</v>
      </c>
      <c r="Q87" s="59">
        <f t="shared" si="91"/>
        <v>1</v>
      </c>
      <c r="R87" s="59">
        <f t="shared" si="91"/>
        <v>4</v>
      </c>
      <c r="S87" s="59">
        <f t="shared" si="91"/>
        <v>1</v>
      </c>
      <c r="T87" s="59">
        <f t="shared" si="91"/>
        <v>4</v>
      </c>
      <c r="U87" s="59">
        <f t="shared" si="91"/>
        <v>2</v>
      </c>
      <c r="V87" s="60">
        <f t="shared" si="91"/>
        <v>4</v>
      </c>
      <c r="X87" s="111" t="s">
        <v>69</v>
      </c>
      <c r="Y87" s="84">
        <f>COUNTIF(E88:M88, "Invited Guests")</f>
        <v>6</v>
      </c>
      <c r="Z87" s="27">
        <f>COUNTIF(N88:V88, "Invited Guests")</f>
        <v>7</v>
      </c>
    </row>
    <row r="88">
      <c r="B88" s="7" t="s">
        <v>76</v>
      </c>
      <c r="C88" s="26"/>
      <c r="D88" s="7" t="s">
        <v>70</v>
      </c>
      <c r="E88" s="84" t="str">
        <f t="shared" ref="E88:V88" si="92">IF(E86&lt;E87, "Spartan Dawgs", IF(E86&gt;E87, "Invited Guests", "No Blood"))</f>
        <v>Invited Guests</v>
      </c>
      <c r="F88" s="84" t="str">
        <f t="shared" si="92"/>
        <v>Invited Guests</v>
      </c>
      <c r="G88" s="84" t="str">
        <f t="shared" si="92"/>
        <v>No Blood</v>
      </c>
      <c r="H88" s="84" t="str">
        <f t="shared" si="92"/>
        <v>Invited Guests</v>
      </c>
      <c r="I88" s="84" t="str">
        <f t="shared" si="92"/>
        <v>Spartan Dawgs</v>
      </c>
      <c r="J88" s="84" t="str">
        <f t="shared" si="92"/>
        <v>Invited Guests</v>
      </c>
      <c r="K88" s="84" t="str">
        <f t="shared" si="92"/>
        <v>Spartan Dawgs</v>
      </c>
      <c r="L88" s="84" t="str">
        <f t="shared" si="92"/>
        <v>Invited Guests</v>
      </c>
      <c r="M88" s="27" t="str">
        <f t="shared" si="92"/>
        <v>Invited Guests</v>
      </c>
      <c r="N88" s="26" t="str">
        <f t="shared" si="92"/>
        <v>No Blood</v>
      </c>
      <c r="O88" s="84" t="str">
        <f t="shared" si="92"/>
        <v>Invited Guests</v>
      </c>
      <c r="P88" s="84" t="str">
        <f t="shared" si="92"/>
        <v>Invited Guests</v>
      </c>
      <c r="Q88" s="84" t="str">
        <f t="shared" si="92"/>
        <v>Invited Guests</v>
      </c>
      <c r="R88" s="84" t="str">
        <f t="shared" si="92"/>
        <v>Invited Guests</v>
      </c>
      <c r="S88" s="84" t="str">
        <f t="shared" si="92"/>
        <v>Invited Guests</v>
      </c>
      <c r="T88" s="84" t="str">
        <f t="shared" si="92"/>
        <v>Spartan Dawgs</v>
      </c>
      <c r="U88" s="84" t="str">
        <f t="shared" si="92"/>
        <v>Invited Guests</v>
      </c>
      <c r="V88" s="27" t="str">
        <f t="shared" si="92"/>
        <v>Invited Guests</v>
      </c>
      <c r="X88" s="113" t="s">
        <v>74</v>
      </c>
      <c r="Y88" s="86">
        <f>IF(Y86&gt;Z86, 1, IF(Y86&lt;Z86, 0, 0.5))</f>
        <v>0</v>
      </c>
      <c r="Z88" s="87">
        <f>IF(Z86&gt;Y86, 1, IF(Z86&lt;Y86, 0, 0.5))</f>
        <v>1</v>
      </c>
    </row>
    <row r="89">
      <c r="C89" s="88"/>
      <c r="D89" s="86"/>
      <c r="E89" s="86"/>
      <c r="F89" s="86"/>
      <c r="G89" s="86"/>
      <c r="H89" s="86"/>
      <c r="I89" s="86"/>
      <c r="J89" s="86"/>
      <c r="K89" s="86"/>
      <c r="L89" s="86"/>
      <c r="M89" s="87"/>
      <c r="N89" s="88"/>
      <c r="O89" s="86"/>
      <c r="P89" s="86"/>
      <c r="Q89" s="86"/>
      <c r="R89" s="86"/>
      <c r="S89" s="86"/>
      <c r="T89" s="86"/>
      <c r="U89" s="86"/>
      <c r="V89" s="87"/>
    </row>
    <row r="90">
      <c r="M90" s="27"/>
      <c r="N90" s="26"/>
      <c r="X90" s="81"/>
      <c r="Y90" s="92" t="s">
        <v>42</v>
      </c>
      <c r="Z90" s="93" t="s">
        <v>43</v>
      </c>
    </row>
    <row r="91">
      <c r="C91" s="109" t="s">
        <v>77</v>
      </c>
      <c r="D91" s="110" t="s">
        <v>66</v>
      </c>
      <c r="E91" s="95">
        <f t="shared" ref="E91:V91" si="93">MIN(E71,E72)</f>
        <v>3</v>
      </c>
      <c r="F91" s="95">
        <f t="shared" si="93"/>
        <v>3</v>
      </c>
      <c r="G91" s="95">
        <f t="shared" si="93"/>
        <v>2</v>
      </c>
      <c r="H91" s="95">
        <f t="shared" si="93"/>
        <v>4</v>
      </c>
      <c r="I91" s="95">
        <f t="shared" si="93"/>
        <v>3</v>
      </c>
      <c r="J91" s="95">
        <f t="shared" si="93"/>
        <v>5</v>
      </c>
      <c r="K91" s="95">
        <f t="shared" si="93"/>
        <v>3</v>
      </c>
      <c r="L91" s="95">
        <f t="shared" si="93"/>
        <v>3</v>
      </c>
      <c r="M91" s="96">
        <f t="shared" si="93"/>
        <v>4</v>
      </c>
      <c r="N91" s="97">
        <f t="shared" si="93"/>
        <v>3</v>
      </c>
      <c r="O91" s="95">
        <f t="shared" si="93"/>
        <v>3</v>
      </c>
      <c r="P91" s="95">
        <f t="shared" si="93"/>
        <v>4</v>
      </c>
      <c r="Q91" s="95">
        <f t="shared" si="93"/>
        <v>4</v>
      </c>
      <c r="R91" s="95">
        <f t="shared" si="93"/>
        <v>3</v>
      </c>
      <c r="S91" s="95">
        <f t="shared" si="93"/>
        <v>5</v>
      </c>
      <c r="T91" s="95">
        <f t="shared" si="93"/>
        <v>5</v>
      </c>
      <c r="U91" s="95">
        <f t="shared" si="93"/>
        <v>2</v>
      </c>
      <c r="V91" s="96">
        <f t="shared" si="93"/>
        <v>4</v>
      </c>
      <c r="W91" s="21"/>
      <c r="X91" s="111" t="s">
        <v>67</v>
      </c>
      <c r="Y91" s="84">
        <f>COUNTIF(E93:M93, "Spartan Dawgs")</f>
        <v>5</v>
      </c>
      <c r="Z91" s="27">
        <f>COUNTIF(N93:V93, "Invited Guests")</f>
        <v>2</v>
      </c>
    </row>
    <row r="92">
      <c r="C92" s="26"/>
      <c r="D92" s="7" t="s">
        <v>68</v>
      </c>
      <c r="E92" s="59">
        <f t="shared" ref="E92:V92" si="94">MIN(E73,E74)</f>
        <v>4</v>
      </c>
      <c r="F92" s="59">
        <f t="shared" si="94"/>
        <v>4</v>
      </c>
      <c r="G92" s="59">
        <f t="shared" si="94"/>
        <v>3</v>
      </c>
      <c r="H92" s="59">
        <f t="shared" si="94"/>
        <v>4</v>
      </c>
      <c r="I92" s="59">
        <f t="shared" si="94"/>
        <v>4</v>
      </c>
      <c r="J92" s="59">
        <f t="shared" si="94"/>
        <v>5</v>
      </c>
      <c r="K92" s="59">
        <f t="shared" si="94"/>
        <v>3</v>
      </c>
      <c r="L92" s="59">
        <f t="shared" si="94"/>
        <v>4</v>
      </c>
      <c r="M92" s="60">
        <f t="shared" si="94"/>
        <v>4</v>
      </c>
      <c r="N92" s="61">
        <f t="shared" si="94"/>
        <v>4</v>
      </c>
      <c r="O92" s="59">
        <f t="shared" si="94"/>
        <v>4</v>
      </c>
      <c r="P92" s="59">
        <f t="shared" si="94"/>
        <v>3</v>
      </c>
      <c r="Q92" s="59">
        <f t="shared" si="94"/>
        <v>4</v>
      </c>
      <c r="R92" s="59">
        <f t="shared" si="94"/>
        <v>3</v>
      </c>
      <c r="S92" s="59">
        <f t="shared" si="94"/>
        <v>3</v>
      </c>
      <c r="T92" s="59">
        <f t="shared" si="94"/>
        <v>5</v>
      </c>
      <c r="U92" s="59">
        <f t="shared" si="94"/>
        <v>3</v>
      </c>
      <c r="V92" s="60">
        <f t="shared" si="94"/>
        <v>4</v>
      </c>
      <c r="X92" s="111" t="s">
        <v>69</v>
      </c>
      <c r="Y92" s="84">
        <f>COUNTIF(E93:M93, "Invited Guests")</f>
        <v>0</v>
      </c>
      <c r="Z92" s="27">
        <f>COUNTIF(N93:V93, "Invited Guests")</f>
        <v>2</v>
      </c>
    </row>
    <row r="93">
      <c r="C93" s="26"/>
      <c r="D93" s="7" t="s">
        <v>70</v>
      </c>
      <c r="E93" s="84" t="str">
        <f t="shared" ref="E93:V93" si="95">IF(E91&lt;E92, "Spartan Dawgs", IF(E91&gt;E92, "Invited Guests", "No Blood"))</f>
        <v>Spartan Dawgs</v>
      </c>
      <c r="F93" s="84" t="str">
        <f t="shared" si="95"/>
        <v>Spartan Dawgs</v>
      </c>
      <c r="G93" s="84" t="str">
        <f t="shared" si="95"/>
        <v>Spartan Dawgs</v>
      </c>
      <c r="H93" s="84" t="str">
        <f t="shared" si="95"/>
        <v>No Blood</v>
      </c>
      <c r="I93" s="84" t="str">
        <f t="shared" si="95"/>
        <v>Spartan Dawgs</v>
      </c>
      <c r="J93" s="84" t="str">
        <f t="shared" si="95"/>
        <v>No Blood</v>
      </c>
      <c r="K93" s="84" t="str">
        <f t="shared" si="95"/>
        <v>No Blood</v>
      </c>
      <c r="L93" s="84" t="str">
        <f t="shared" si="95"/>
        <v>Spartan Dawgs</v>
      </c>
      <c r="M93" s="27" t="str">
        <f t="shared" si="95"/>
        <v>No Blood</v>
      </c>
      <c r="N93" s="26" t="str">
        <f t="shared" si="95"/>
        <v>Spartan Dawgs</v>
      </c>
      <c r="O93" s="84" t="str">
        <f t="shared" si="95"/>
        <v>Spartan Dawgs</v>
      </c>
      <c r="P93" s="84" t="str">
        <f t="shared" si="95"/>
        <v>Invited Guests</v>
      </c>
      <c r="Q93" s="84" t="str">
        <f t="shared" si="95"/>
        <v>No Blood</v>
      </c>
      <c r="R93" s="84" t="str">
        <f t="shared" si="95"/>
        <v>No Blood</v>
      </c>
      <c r="S93" s="84" t="str">
        <f t="shared" si="95"/>
        <v>Invited Guests</v>
      </c>
      <c r="T93" s="84" t="str">
        <f t="shared" si="95"/>
        <v>No Blood</v>
      </c>
      <c r="U93" s="84" t="str">
        <f t="shared" si="95"/>
        <v>Spartan Dawgs</v>
      </c>
      <c r="V93" s="27" t="str">
        <f t="shared" si="95"/>
        <v>No Blood</v>
      </c>
      <c r="X93" s="113" t="s">
        <v>74</v>
      </c>
      <c r="Y93" s="86">
        <f>IF(Y91&gt;Z91, 1, IF(Y91&lt;Z91, 0, 0.5))</f>
        <v>1</v>
      </c>
      <c r="Z93" s="87">
        <f>IF(Z91&gt;Y91, 1, IF(Z91&lt;Y91, 0, 0.5))</f>
        <v>0</v>
      </c>
    </row>
    <row r="94">
      <c r="C94" s="88"/>
      <c r="D94" s="86"/>
      <c r="E94" s="86"/>
      <c r="F94" s="86"/>
      <c r="G94" s="86"/>
      <c r="H94" s="86"/>
      <c r="I94" s="86"/>
      <c r="J94" s="86"/>
      <c r="K94" s="86"/>
      <c r="L94" s="86"/>
      <c r="M94" s="87"/>
      <c r="N94" s="88"/>
      <c r="O94" s="86"/>
      <c r="P94" s="86"/>
      <c r="Q94" s="86"/>
      <c r="R94" s="86"/>
      <c r="S94" s="86"/>
      <c r="T94" s="86"/>
      <c r="U94" s="86"/>
      <c r="V94" s="87"/>
    </row>
  </sheetData>
  <mergeCells count="18">
    <mergeCell ref="E2:G2"/>
    <mergeCell ref="I2:K2"/>
    <mergeCell ref="M2:O2"/>
    <mergeCell ref="Q2:S2"/>
    <mergeCell ref="E10:M10"/>
    <mergeCell ref="N10:V10"/>
    <mergeCell ref="C16:C19"/>
    <mergeCell ref="C56:C59"/>
    <mergeCell ref="C61:C64"/>
    <mergeCell ref="C66:C69"/>
    <mergeCell ref="C71:C74"/>
    <mergeCell ref="C21:C24"/>
    <mergeCell ref="C26:C29"/>
    <mergeCell ref="C31:C34"/>
    <mergeCell ref="C36:C39"/>
    <mergeCell ref="C41:C44"/>
    <mergeCell ref="C46:C49"/>
    <mergeCell ref="C51:C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5.0" topLeftCell="A16" activePane="bottomLeft" state="frozen"/>
      <selection activeCell="B17" sqref="B17" pane="bottomLeft"/>
    </sheetView>
  </sheetViews>
  <sheetFormatPr customHeight="1" defaultColWidth="12.63" defaultRowHeight="15.75"/>
  <cols>
    <col customWidth="1" min="1" max="1" width="24.13"/>
    <col customWidth="1" min="2" max="2" width="13.88"/>
    <col customWidth="1" min="3" max="3" width="33.38"/>
    <col customWidth="1" min="4" max="4" width="17.75"/>
  </cols>
  <sheetData>
    <row r="1">
      <c r="A1" s="6"/>
      <c r="B1" s="6"/>
      <c r="C1" s="6" t="s">
        <v>78</v>
      </c>
      <c r="D1" s="4"/>
      <c r="E1" s="5"/>
      <c r="F1" s="5"/>
      <c r="G1" s="5"/>
      <c r="H1" s="5"/>
      <c r="I1" s="5"/>
      <c r="J1" s="5"/>
      <c r="K1" s="5"/>
      <c r="L1" s="5"/>
      <c r="M1" s="4"/>
      <c r="N1" s="4"/>
      <c r="O1" s="10"/>
      <c r="P1" s="10"/>
      <c r="Q1" s="10"/>
      <c r="R1" s="10"/>
      <c r="S1" s="10"/>
      <c r="T1" s="10"/>
      <c r="U1" s="11"/>
      <c r="W1" s="12"/>
      <c r="X1" s="12"/>
      <c r="Y1" s="4"/>
      <c r="Z1" s="12"/>
      <c r="AC1" s="10"/>
      <c r="AD1" s="10"/>
      <c r="AE1" s="10"/>
      <c r="AF1" s="10"/>
      <c r="AG1" s="10"/>
      <c r="AH1" s="10"/>
      <c r="AI1" s="10"/>
      <c r="AJ1" s="10"/>
      <c r="AK1" s="10"/>
    </row>
    <row r="2">
      <c r="A2" s="4"/>
      <c r="C2" s="4"/>
      <c r="D2" s="4" t="s">
        <v>37</v>
      </c>
      <c r="E2" s="13" t="s">
        <v>38</v>
      </c>
      <c r="F2" s="14"/>
      <c r="G2" s="15"/>
      <c r="H2" s="16"/>
      <c r="I2" s="13" t="s">
        <v>39</v>
      </c>
      <c r="J2" s="14"/>
      <c r="K2" s="15"/>
      <c r="L2" s="16"/>
      <c r="M2" s="13" t="s">
        <v>40</v>
      </c>
      <c r="N2" s="14"/>
      <c r="O2" s="15"/>
      <c r="P2" s="16"/>
      <c r="Q2" s="13" t="s">
        <v>41</v>
      </c>
      <c r="R2" s="14"/>
      <c r="S2" s="15"/>
      <c r="T2" s="10"/>
      <c r="U2" s="10"/>
      <c r="V2" s="1"/>
      <c r="W2" s="8"/>
      <c r="Y2" s="17" t="s">
        <v>42</v>
      </c>
      <c r="Z2" s="17" t="s">
        <v>43</v>
      </c>
      <c r="AC2" s="10"/>
      <c r="AD2" s="10"/>
      <c r="AE2" s="10"/>
      <c r="AF2" s="10"/>
      <c r="AG2" s="10"/>
      <c r="AH2" s="10"/>
      <c r="AI2" s="10"/>
      <c r="AJ2" s="10"/>
      <c r="AK2" s="10"/>
    </row>
    <row r="3">
      <c r="A3" s="4" t="s">
        <v>44</v>
      </c>
      <c r="B3" s="4" t="s">
        <v>45</v>
      </c>
      <c r="D3" s="10"/>
      <c r="E3" s="109" t="s">
        <v>20</v>
      </c>
      <c r="F3" s="19"/>
      <c r="G3" s="20" t="s">
        <v>19</v>
      </c>
      <c r="H3" s="21"/>
      <c r="I3" s="18" t="s">
        <v>14</v>
      </c>
      <c r="J3" s="19"/>
      <c r="K3" s="20" t="s">
        <v>21</v>
      </c>
      <c r="M3" s="18" t="s">
        <v>12</v>
      </c>
      <c r="N3" s="19"/>
      <c r="O3" s="20" t="s">
        <v>9</v>
      </c>
      <c r="P3" s="21"/>
      <c r="Q3" s="18" t="s">
        <v>10</v>
      </c>
      <c r="R3" s="19"/>
      <c r="S3" s="22" t="s">
        <v>29</v>
      </c>
      <c r="T3" s="10"/>
      <c r="U3" s="23"/>
      <c r="V3" s="23"/>
      <c r="W3" s="23"/>
      <c r="Y3" s="24">
        <f t="shared" ref="Y3:Z3" si="1">SUM(Y79,Y84,Y89,Y94)</f>
        <v>2</v>
      </c>
      <c r="Z3" s="24">
        <f t="shared" si="1"/>
        <v>2</v>
      </c>
      <c r="AC3" s="10"/>
      <c r="AD3" s="10"/>
      <c r="AE3" s="10"/>
      <c r="AF3" s="10"/>
      <c r="AG3" s="10"/>
      <c r="AH3" s="10"/>
      <c r="AI3" s="10"/>
      <c r="AJ3" s="10"/>
      <c r="AK3" s="25"/>
    </row>
    <row r="4">
      <c r="A4" s="5" t="str">
        <f>Information!B22</f>
        <v>James</v>
      </c>
      <c r="B4" s="5" t="str">
        <f t="shared" ref="B4:B19" si="2">VLOOKUP(A4,$A$21:$B$39,2,false)</f>
        <v>#N/A</v>
      </c>
      <c r="D4" s="10"/>
      <c r="E4" s="26"/>
      <c r="F4" s="21" t="s">
        <v>46</v>
      </c>
      <c r="G4" s="27"/>
      <c r="I4" s="26"/>
      <c r="J4" s="21" t="s">
        <v>46</v>
      </c>
      <c r="K4" s="27"/>
      <c r="L4" s="21"/>
      <c r="M4" s="26"/>
      <c r="N4" s="21" t="s">
        <v>46</v>
      </c>
      <c r="O4" s="27"/>
      <c r="Q4" s="26"/>
      <c r="R4" s="21" t="s">
        <v>46</v>
      </c>
      <c r="S4" s="27"/>
      <c r="T4" s="10"/>
      <c r="W4" s="23"/>
      <c r="X4" s="23"/>
      <c r="Y4" s="5"/>
      <c r="Z4" s="8"/>
      <c r="AC4" s="10"/>
      <c r="AD4" s="10"/>
      <c r="AE4" s="10"/>
      <c r="AF4" s="10"/>
      <c r="AG4" s="10"/>
      <c r="AH4" s="10"/>
      <c r="AI4" s="10"/>
      <c r="AJ4" s="10"/>
      <c r="AK4" s="10"/>
    </row>
    <row r="5">
      <c r="A5" s="5" t="str">
        <f>Information!B23</f>
        <v>Dan</v>
      </c>
      <c r="B5" s="5" t="str">
        <f t="shared" si="2"/>
        <v>#N/A</v>
      </c>
      <c r="D5" s="10"/>
      <c r="E5" s="28" t="s">
        <v>18</v>
      </c>
      <c r="G5" s="29" t="s">
        <v>13</v>
      </c>
      <c r="H5" s="21"/>
      <c r="I5" s="28" t="s">
        <v>22</v>
      </c>
      <c r="K5" s="29" t="s">
        <v>23</v>
      </c>
      <c r="M5" s="28" t="s">
        <v>8</v>
      </c>
      <c r="O5" s="29" t="s">
        <v>17</v>
      </c>
      <c r="P5" s="21"/>
      <c r="Q5" s="28" t="s">
        <v>16</v>
      </c>
      <c r="S5" s="29" t="s">
        <v>11</v>
      </c>
      <c r="T5" s="10"/>
      <c r="Y5" s="10"/>
      <c r="Z5" s="9"/>
      <c r="AC5" s="10"/>
      <c r="AD5" s="10"/>
      <c r="AE5" s="10"/>
      <c r="AF5" s="10"/>
      <c r="AG5" s="10"/>
      <c r="AH5" s="10"/>
      <c r="AI5" s="10"/>
      <c r="AJ5" s="10"/>
      <c r="AK5" s="10"/>
    </row>
    <row r="6">
      <c r="A6" s="5" t="str">
        <f>Information!B24</f>
        <v>Kyle</v>
      </c>
      <c r="B6" s="5" t="str">
        <f t="shared" si="2"/>
        <v>#N/A</v>
      </c>
      <c r="D6" s="4"/>
      <c r="E6" s="28"/>
      <c r="F6" s="21"/>
      <c r="G6" s="29"/>
      <c r="H6" s="8"/>
      <c r="I6" s="28"/>
      <c r="J6" s="21"/>
      <c r="K6" s="29"/>
      <c r="L6" s="8"/>
      <c r="M6" s="28"/>
      <c r="N6" s="21"/>
      <c r="O6" s="29"/>
      <c r="P6" s="8"/>
      <c r="Q6" s="28"/>
      <c r="R6" s="21"/>
      <c r="S6" s="29"/>
      <c r="T6" s="10"/>
      <c r="U6" s="10"/>
      <c r="V6" s="4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>
      <c r="A7" s="5" t="str">
        <f>Information!B25</f>
        <v>Brett</v>
      </c>
      <c r="B7" s="5" t="str">
        <f t="shared" si="2"/>
        <v>#N/A</v>
      </c>
      <c r="D7" s="4" t="s">
        <v>47</v>
      </c>
      <c r="E7" s="30">
        <f>(VLOOKUP(E3,Information!$B$22:$C$37,2,false))+(VLOOKUP(E5,Information!$B$22:$C$37,2,false))</f>
        <v>26.5</v>
      </c>
      <c r="F7" s="31"/>
      <c r="G7" s="32">
        <f>(VLOOKUP(G3,Information!$B$22:$C$37,2,false))+(VLOOKUP(G5,Information!$B$22:$C$37,2,false))</f>
        <v>25.8</v>
      </c>
      <c r="H7" s="33"/>
      <c r="I7" s="30">
        <f>(VLOOKUP(I3,Information!$B$22:$C$37,2,false))+(VLOOKUP(I5,Information!$B$22:$C$37,2,false))</f>
        <v>42.9</v>
      </c>
      <c r="J7" s="31"/>
      <c r="K7" s="32">
        <f>(VLOOKUP(K3,Information!$B$22:$C$37,2,false))+(VLOOKUP(K5,Information!$B$22:$C$37,2,false))</f>
        <v>35.7</v>
      </c>
      <c r="L7" s="33"/>
      <c r="M7" s="30">
        <f>(VLOOKUP(M3,Information!$B$22:$C$37,2,false))+(VLOOKUP(M5,Information!$B$22:$C$37,2,false))</f>
        <v>26.4</v>
      </c>
      <c r="N7" s="31"/>
      <c r="O7" s="32">
        <f>(VLOOKUP(O3,Information!$B$22:$C$37,2,false))+(VLOOKUP(O5,Information!$B$22:$C$37,2,false))</f>
        <v>31.8</v>
      </c>
      <c r="P7" s="33"/>
      <c r="Q7" s="30">
        <f>(VLOOKUP(Q3,Information!$B$22:$C$37,2,false))+(VLOOKUP(Q5,Information!$B$22:$C$37,2,false))</f>
        <v>29.7</v>
      </c>
      <c r="R7" s="31"/>
      <c r="S7" s="32">
        <f>(VLOOKUP(S3,Information!$B$22:$C$37,2,false))+(VLOOKUP(S5,Information!$B$22:$C$37,2,false))</f>
        <v>22.3</v>
      </c>
      <c r="T7" s="10"/>
      <c r="U7" s="10"/>
      <c r="V7" s="4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>
      <c r="A8" s="5" t="str">
        <f>Information!B26</f>
        <v>Jon</v>
      </c>
      <c r="B8" s="5" t="str">
        <f t="shared" si="2"/>
        <v>#N/A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>
      <c r="A9" s="5" t="str">
        <f>Information!B27</f>
        <v>Tovey</v>
      </c>
      <c r="B9" s="5" t="str">
        <f t="shared" si="2"/>
        <v>#N/A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>
      <c r="A10" s="5" t="str">
        <f>Information!B28</f>
        <v>Cole</v>
      </c>
      <c r="B10" s="5" t="str">
        <f t="shared" si="2"/>
        <v>#N/A</v>
      </c>
      <c r="D10" s="34" t="s">
        <v>48</v>
      </c>
      <c r="E10" s="35" t="s">
        <v>33</v>
      </c>
      <c r="F10" s="14"/>
      <c r="G10" s="14"/>
      <c r="H10" s="14"/>
      <c r="I10" s="14"/>
      <c r="J10" s="14"/>
      <c r="K10" s="14"/>
      <c r="L10" s="14"/>
      <c r="M10" s="14"/>
      <c r="N10" s="35" t="s">
        <v>79</v>
      </c>
      <c r="O10" s="14"/>
      <c r="P10" s="14"/>
      <c r="Q10" s="14"/>
      <c r="R10" s="14"/>
      <c r="S10" s="14"/>
      <c r="T10" s="14"/>
      <c r="U10" s="14"/>
      <c r="V10" s="15"/>
      <c r="W10" s="21"/>
      <c r="X10" s="21"/>
      <c r="Y10" s="21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>
      <c r="A11" s="5" t="str">
        <f>Information!B29</f>
        <v>Matt</v>
      </c>
      <c r="B11" s="5" t="str">
        <f t="shared" si="2"/>
        <v>#N/A</v>
      </c>
      <c r="D11" s="36" t="s">
        <v>50</v>
      </c>
      <c r="E11" s="37">
        <v>1.0</v>
      </c>
      <c r="F11" s="37">
        <v>2.0</v>
      </c>
      <c r="G11" s="37">
        <v>3.0</v>
      </c>
      <c r="H11" s="37">
        <v>4.0</v>
      </c>
      <c r="I11" s="37">
        <v>5.0</v>
      </c>
      <c r="J11" s="37">
        <v>6.0</v>
      </c>
      <c r="K11" s="37">
        <v>7.0</v>
      </c>
      <c r="L11" s="37">
        <v>8.0</v>
      </c>
      <c r="M11" s="37">
        <v>9.0</v>
      </c>
      <c r="N11" s="37">
        <v>10.0</v>
      </c>
      <c r="O11" s="37">
        <v>11.0</v>
      </c>
      <c r="P11" s="37">
        <v>12.0</v>
      </c>
      <c r="Q11" s="37">
        <v>13.0</v>
      </c>
      <c r="R11" s="37">
        <v>14.0</v>
      </c>
      <c r="S11" s="37">
        <v>15.0</v>
      </c>
      <c r="T11" s="37">
        <v>16.0</v>
      </c>
      <c r="U11" s="37">
        <v>17.0</v>
      </c>
      <c r="V11" s="37">
        <v>18.0</v>
      </c>
      <c r="W11" s="21"/>
      <c r="X11" s="21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>
      <c r="A12" s="5" t="str">
        <f>Information!B30</f>
        <v>Dillon</v>
      </c>
      <c r="B12" s="5" t="str">
        <f t="shared" si="2"/>
        <v>#N/A</v>
      </c>
      <c r="D12" s="38" t="s">
        <v>51</v>
      </c>
      <c r="E12" s="39">
        <v>4.0</v>
      </c>
      <c r="F12" s="39">
        <v>3.0</v>
      </c>
      <c r="G12" s="39">
        <v>4.0</v>
      </c>
      <c r="H12" s="39">
        <v>4.0</v>
      </c>
      <c r="I12" s="39">
        <v>4.0</v>
      </c>
      <c r="J12" s="39">
        <v>5.0</v>
      </c>
      <c r="K12" s="39">
        <v>3.0</v>
      </c>
      <c r="L12" s="39">
        <v>4.0</v>
      </c>
      <c r="M12" s="39">
        <v>5.0</v>
      </c>
      <c r="N12" s="39">
        <v>4.0</v>
      </c>
      <c r="O12" s="39">
        <v>3.0</v>
      </c>
      <c r="P12" s="39">
        <v>4.0</v>
      </c>
      <c r="Q12" s="39">
        <v>4.0</v>
      </c>
      <c r="R12" s="39">
        <v>3.0</v>
      </c>
      <c r="S12" s="39">
        <v>4.0</v>
      </c>
      <c r="T12" s="39">
        <v>5.0</v>
      </c>
      <c r="U12" s="39">
        <v>3.0</v>
      </c>
      <c r="V12" s="39">
        <v>5.0</v>
      </c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>
      <c r="A13" s="5" t="str">
        <f>Information!B31</f>
        <v>Corey</v>
      </c>
      <c r="B13" s="5" t="str">
        <f t="shared" si="2"/>
        <v>#N/A</v>
      </c>
      <c r="D13" s="38" t="s">
        <v>52</v>
      </c>
      <c r="E13" s="39">
        <v>13.0</v>
      </c>
      <c r="F13" s="39">
        <v>15.0</v>
      </c>
      <c r="G13" s="39">
        <v>5.0</v>
      </c>
      <c r="H13" s="39">
        <v>1.0</v>
      </c>
      <c r="I13" s="39">
        <v>3.0</v>
      </c>
      <c r="J13" s="39">
        <v>9.0</v>
      </c>
      <c r="K13" s="39">
        <v>17.0</v>
      </c>
      <c r="L13" s="39">
        <v>11.0</v>
      </c>
      <c r="M13" s="39">
        <v>7.0</v>
      </c>
      <c r="N13" s="39">
        <v>6.0</v>
      </c>
      <c r="O13" s="39">
        <v>16.0</v>
      </c>
      <c r="P13" s="39">
        <v>8.0</v>
      </c>
      <c r="Q13" s="39">
        <v>2.0</v>
      </c>
      <c r="R13" s="39">
        <v>18.0</v>
      </c>
      <c r="S13" s="39">
        <v>12.0</v>
      </c>
      <c r="T13" s="39">
        <v>10.0</v>
      </c>
      <c r="U13" s="39">
        <v>14.0</v>
      </c>
      <c r="V13" s="39">
        <v>4.0</v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>
      <c r="A14" s="5" t="str">
        <f>Information!B32</f>
        <v>Andy</v>
      </c>
      <c r="B14" s="5" t="str">
        <f t="shared" si="2"/>
        <v>#N/A</v>
      </c>
      <c r="D14" s="21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>
      <c r="A15" s="5" t="str">
        <f>Information!B33</f>
        <v>JoePa</v>
      </c>
      <c r="B15" s="5" t="str">
        <f t="shared" si="2"/>
        <v>#N/A</v>
      </c>
      <c r="D15" s="40" t="s">
        <v>50</v>
      </c>
      <c r="E15" s="41">
        <v>1.0</v>
      </c>
      <c r="F15" s="41">
        <v>2.0</v>
      </c>
      <c r="G15" s="41">
        <v>3.0</v>
      </c>
      <c r="H15" s="41">
        <v>4.0</v>
      </c>
      <c r="I15" s="41">
        <v>5.0</v>
      </c>
      <c r="J15" s="41">
        <v>6.0</v>
      </c>
      <c r="K15" s="41">
        <v>7.0</v>
      </c>
      <c r="L15" s="41">
        <v>8.0</v>
      </c>
      <c r="M15" s="42">
        <v>9.0</v>
      </c>
      <c r="N15" s="43">
        <v>10.0</v>
      </c>
      <c r="O15" s="41">
        <v>11.0</v>
      </c>
      <c r="P15" s="41">
        <v>12.0</v>
      </c>
      <c r="Q15" s="41">
        <v>13.0</v>
      </c>
      <c r="R15" s="41">
        <v>14.0</v>
      </c>
      <c r="S15" s="41">
        <v>15.0</v>
      </c>
      <c r="T15" s="41">
        <v>16.0</v>
      </c>
      <c r="U15" s="41">
        <v>17.0</v>
      </c>
      <c r="V15" s="42">
        <v>18.0</v>
      </c>
      <c r="W15" s="21"/>
      <c r="X15" s="44" t="s">
        <v>53</v>
      </c>
      <c r="Y15" s="44" t="s">
        <v>54</v>
      </c>
      <c r="Z15" s="44" t="s">
        <v>55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>
      <c r="A16" s="5" t="str">
        <f>Information!B34</f>
        <v>Juan</v>
      </c>
      <c r="B16" s="5" t="str">
        <f t="shared" si="2"/>
        <v>#N/A</v>
      </c>
      <c r="C16" s="45" t="s">
        <v>56</v>
      </c>
      <c r="D16" s="46" t="str">
        <f>A21</f>
        <v>ColeToveyScramble</v>
      </c>
      <c r="E16" s="95">
        <f t="shared" ref="E16:M16" si="3">ROUNDUP(RANDBETWEEN(2,9))</f>
        <v>5</v>
      </c>
      <c r="F16" s="95">
        <f t="shared" si="3"/>
        <v>4</v>
      </c>
      <c r="G16" s="95">
        <f t="shared" si="3"/>
        <v>7</v>
      </c>
      <c r="H16" s="95">
        <f t="shared" si="3"/>
        <v>9</v>
      </c>
      <c r="I16" s="95">
        <f t="shared" si="3"/>
        <v>6</v>
      </c>
      <c r="J16" s="95">
        <f t="shared" si="3"/>
        <v>3</v>
      </c>
      <c r="K16" s="95">
        <f t="shared" si="3"/>
        <v>6</v>
      </c>
      <c r="L16" s="95">
        <f t="shared" si="3"/>
        <v>7</v>
      </c>
      <c r="M16" s="96">
        <f t="shared" si="3"/>
        <v>5</v>
      </c>
      <c r="N16" s="97"/>
      <c r="O16" s="95"/>
      <c r="P16" s="95"/>
      <c r="Q16" s="95"/>
      <c r="R16" s="95"/>
      <c r="S16" s="95"/>
      <c r="T16" s="95"/>
      <c r="U16" s="95"/>
      <c r="V16" s="96"/>
      <c r="W16" s="21"/>
      <c r="X16" s="50">
        <f t="shared" ref="X16:X19" si="5">SUM(E16:M16)</f>
        <v>52</v>
      </c>
      <c r="Y16" s="50">
        <f t="shared" ref="Y16:Y19" si="6">SUM(N16:V16)</f>
        <v>0</v>
      </c>
      <c r="Z16" s="51">
        <f t="shared" ref="Z16:Z19" si="7">sum(X16,Y16)</f>
        <v>52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>
      <c r="A17" s="5" t="str">
        <f>Information!B35</f>
        <v>Connor</v>
      </c>
      <c r="B17" s="5" t="str">
        <f t="shared" si="2"/>
        <v>#N/A</v>
      </c>
      <c r="C17" s="52"/>
      <c r="D17" s="5" t="str">
        <f>A40</f>
        <v>ColeToveyAltShot</v>
      </c>
      <c r="E17" s="59"/>
      <c r="F17" s="59"/>
      <c r="G17" s="59"/>
      <c r="H17" s="59"/>
      <c r="I17" s="59"/>
      <c r="J17" s="59"/>
      <c r="K17" s="59"/>
      <c r="L17" s="59"/>
      <c r="M17" s="60"/>
      <c r="N17" s="61">
        <f t="shared" ref="N17:V17" si="4">ROUNDUP(RANDBETWEEN(2,9))</f>
        <v>7</v>
      </c>
      <c r="O17" s="59">
        <f t="shared" si="4"/>
        <v>6</v>
      </c>
      <c r="P17" s="59">
        <f t="shared" si="4"/>
        <v>7</v>
      </c>
      <c r="Q17" s="59">
        <f t="shared" si="4"/>
        <v>5</v>
      </c>
      <c r="R17" s="59">
        <f t="shared" si="4"/>
        <v>8</v>
      </c>
      <c r="S17" s="59">
        <f t="shared" si="4"/>
        <v>5</v>
      </c>
      <c r="T17" s="59">
        <f t="shared" si="4"/>
        <v>4</v>
      </c>
      <c r="U17" s="59">
        <f t="shared" si="4"/>
        <v>8</v>
      </c>
      <c r="V17" s="60">
        <f t="shared" si="4"/>
        <v>7</v>
      </c>
      <c r="W17" s="21"/>
      <c r="X17" s="56">
        <f t="shared" si="5"/>
        <v>0</v>
      </c>
      <c r="Y17" s="56">
        <f t="shared" si="6"/>
        <v>57</v>
      </c>
      <c r="Z17" s="57">
        <f t="shared" si="7"/>
        <v>57</v>
      </c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>
      <c r="A18" s="5" t="str">
        <f>Information!B36</f>
        <v>Bud</v>
      </c>
      <c r="B18" s="5" t="str">
        <f t="shared" si="2"/>
        <v>#N/A</v>
      </c>
      <c r="C18" s="52"/>
      <c r="D18" s="5" t="str">
        <f>A23</f>
        <v>ConnorAndyScramble</v>
      </c>
      <c r="E18" s="59">
        <f t="shared" ref="E18:M18" si="8">ROUNDUP(RANDBETWEEN(2,9))</f>
        <v>4</v>
      </c>
      <c r="F18" s="59">
        <f t="shared" si="8"/>
        <v>6</v>
      </c>
      <c r="G18" s="59">
        <f t="shared" si="8"/>
        <v>4</v>
      </c>
      <c r="H18" s="59">
        <f t="shared" si="8"/>
        <v>7</v>
      </c>
      <c r="I18" s="59">
        <f t="shared" si="8"/>
        <v>6</v>
      </c>
      <c r="J18" s="59">
        <f t="shared" si="8"/>
        <v>5</v>
      </c>
      <c r="K18" s="59">
        <f t="shared" si="8"/>
        <v>3</v>
      </c>
      <c r="L18" s="59">
        <f t="shared" si="8"/>
        <v>8</v>
      </c>
      <c r="M18" s="60">
        <f t="shared" si="8"/>
        <v>2</v>
      </c>
      <c r="N18" s="61"/>
      <c r="O18" s="59"/>
      <c r="P18" s="59"/>
      <c r="Q18" s="59"/>
      <c r="R18" s="59"/>
      <c r="S18" s="59"/>
      <c r="T18" s="59"/>
      <c r="U18" s="59"/>
      <c r="V18" s="60"/>
      <c r="W18" s="21"/>
      <c r="X18" s="56">
        <f t="shared" si="5"/>
        <v>45</v>
      </c>
      <c r="Y18" s="56">
        <f t="shared" si="6"/>
        <v>0</v>
      </c>
      <c r="Z18" s="57">
        <f t="shared" si="7"/>
        <v>45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>
      <c r="A19" s="5" t="str">
        <f>Information!B37</f>
        <v>Vince</v>
      </c>
      <c r="B19" s="5" t="str">
        <f t="shared" si="2"/>
        <v>#N/A</v>
      </c>
      <c r="C19" s="52"/>
      <c r="D19" s="5" t="str">
        <f>A42</f>
        <v>ConnorAndyAltShot</v>
      </c>
      <c r="E19" s="59"/>
      <c r="F19" s="59"/>
      <c r="G19" s="59"/>
      <c r="H19" s="59"/>
      <c r="I19" s="59"/>
      <c r="J19" s="59"/>
      <c r="K19" s="59"/>
      <c r="L19" s="59"/>
      <c r="M19" s="60"/>
      <c r="N19" s="61">
        <f t="shared" ref="N19:V19" si="9">ROUNDUP(RANDBETWEEN(2,9))</f>
        <v>7</v>
      </c>
      <c r="O19" s="59">
        <f t="shared" si="9"/>
        <v>4</v>
      </c>
      <c r="P19" s="59">
        <f t="shared" si="9"/>
        <v>9</v>
      </c>
      <c r="Q19" s="59">
        <f t="shared" si="9"/>
        <v>9</v>
      </c>
      <c r="R19" s="59">
        <f t="shared" si="9"/>
        <v>5</v>
      </c>
      <c r="S19" s="59">
        <f t="shared" si="9"/>
        <v>9</v>
      </c>
      <c r="T19" s="59">
        <f t="shared" si="9"/>
        <v>5</v>
      </c>
      <c r="U19" s="59">
        <f t="shared" si="9"/>
        <v>5</v>
      </c>
      <c r="V19" s="60">
        <f t="shared" si="9"/>
        <v>2</v>
      </c>
      <c r="W19" s="21"/>
      <c r="X19" s="56">
        <f t="shared" si="5"/>
        <v>0</v>
      </c>
      <c r="Y19" s="56">
        <f t="shared" si="6"/>
        <v>55</v>
      </c>
      <c r="Z19" s="57">
        <f t="shared" si="7"/>
        <v>55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>
      <c r="C20" s="58"/>
      <c r="D20" s="5" t="str">
        <f t="shared" ref="D20:D21" si="10">A25</f>
        <v/>
      </c>
      <c r="E20" s="59"/>
      <c r="F20" s="59"/>
      <c r="G20" s="59"/>
      <c r="H20" s="59"/>
      <c r="I20" s="59"/>
      <c r="J20" s="59"/>
      <c r="K20" s="59"/>
      <c r="L20" s="59"/>
      <c r="M20" s="60"/>
      <c r="N20" s="61"/>
      <c r="O20" s="59"/>
      <c r="P20" s="59"/>
      <c r="Q20" s="59"/>
      <c r="R20" s="59"/>
      <c r="S20" s="59"/>
      <c r="T20" s="59"/>
      <c r="U20" s="59"/>
      <c r="V20" s="60"/>
      <c r="W20" s="21"/>
      <c r="X20" s="62"/>
      <c r="Y20" s="62"/>
      <c r="Z20" s="63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>
      <c r="A21" s="21" t="str">
        <f>$E$3&amp;$E$5&amp;$E$10</f>
        <v>ColeToveyScramble</v>
      </c>
      <c r="B21" s="64">
        <f>VLOOKUP($E$3, Information!$B$22:$G$37, 4, FALSE)+VLOOKUP($E$5, Information!$B$22:$G$37, 4, FALSE)</f>
        <v>10.6</v>
      </c>
      <c r="C21" s="65" t="s">
        <v>56</v>
      </c>
      <c r="D21" s="5" t="str">
        <f t="shared" si="10"/>
        <v>BrettMattScramble</v>
      </c>
      <c r="E21" s="59">
        <f t="shared" ref="E21:M21" si="11">ROUNDUP(RANDBETWEEN(2,9))</f>
        <v>2</v>
      </c>
      <c r="F21" s="59">
        <f t="shared" si="11"/>
        <v>4</v>
      </c>
      <c r="G21" s="59">
        <f t="shared" si="11"/>
        <v>4</v>
      </c>
      <c r="H21" s="59">
        <f t="shared" si="11"/>
        <v>2</v>
      </c>
      <c r="I21" s="59">
        <f t="shared" si="11"/>
        <v>4</v>
      </c>
      <c r="J21" s="59">
        <f t="shared" si="11"/>
        <v>9</v>
      </c>
      <c r="K21" s="59">
        <f t="shared" si="11"/>
        <v>5</v>
      </c>
      <c r="L21" s="59">
        <f t="shared" si="11"/>
        <v>3</v>
      </c>
      <c r="M21" s="60">
        <f t="shared" si="11"/>
        <v>2</v>
      </c>
      <c r="N21" s="61"/>
      <c r="O21" s="59"/>
      <c r="P21" s="59"/>
      <c r="Q21" s="59"/>
      <c r="R21" s="59"/>
      <c r="S21" s="59"/>
      <c r="T21" s="59"/>
      <c r="U21" s="59"/>
      <c r="V21" s="60"/>
      <c r="W21" s="21"/>
      <c r="X21" s="56">
        <f t="shared" ref="X21:X24" si="13">SUM(E21:M21)</f>
        <v>35</v>
      </c>
      <c r="Y21" s="56">
        <f t="shared" ref="Y21:Y24" si="14">SUM(N21:V21)</f>
        <v>0</v>
      </c>
      <c r="Z21" s="57">
        <f t="shared" ref="Z21:Z24" si="15">sum(X21,Y21)</f>
        <v>35</v>
      </c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>
      <c r="B22" s="64"/>
      <c r="C22" s="52"/>
      <c r="D22" s="5" t="str">
        <f>A45</f>
        <v>BrettMattAltShot</v>
      </c>
      <c r="E22" s="59"/>
      <c r="F22" s="59"/>
      <c r="G22" s="59"/>
      <c r="H22" s="59"/>
      <c r="I22" s="59"/>
      <c r="J22" s="59"/>
      <c r="K22" s="59"/>
      <c r="L22" s="59"/>
      <c r="M22" s="60"/>
      <c r="N22" s="61">
        <f t="shared" ref="N22:V22" si="12">ROUNDUP(RANDBETWEEN(2,9))</f>
        <v>2</v>
      </c>
      <c r="O22" s="59">
        <f t="shared" si="12"/>
        <v>9</v>
      </c>
      <c r="P22" s="59">
        <f t="shared" si="12"/>
        <v>2</v>
      </c>
      <c r="Q22" s="59">
        <f t="shared" si="12"/>
        <v>3</v>
      </c>
      <c r="R22" s="59">
        <f t="shared" si="12"/>
        <v>9</v>
      </c>
      <c r="S22" s="59">
        <f t="shared" si="12"/>
        <v>6</v>
      </c>
      <c r="T22" s="59">
        <f t="shared" si="12"/>
        <v>3</v>
      </c>
      <c r="U22" s="59">
        <f t="shared" si="12"/>
        <v>7</v>
      </c>
      <c r="V22" s="60">
        <f t="shared" si="12"/>
        <v>8</v>
      </c>
      <c r="W22" s="21"/>
      <c r="X22" s="56">
        <f t="shared" si="13"/>
        <v>0</v>
      </c>
      <c r="Y22" s="56">
        <f t="shared" si="14"/>
        <v>49</v>
      </c>
      <c r="Z22" s="57">
        <f t="shared" si="15"/>
        <v>49</v>
      </c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>
      <c r="A23" s="21" t="str">
        <f>$G$3&amp;$G$5&amp;$E$10</f>
        <v>ConnorAndyScramble</v>
      </c>
      <c r="B23" s="64">
        <f>VLOOKUP($G$3, Information!$B$22:$G$37, 4, FALSE)+VLOOKUP($G$5, Information!$B$22:$G$37, 4, FALSE)</f>
        <v>10.32</v>
      </c>
      <c r="C23" s="52"/>
      <c r="D23" s="5" t="str">
        <f>A28</f>
        <v>BudVinceScramble</v>
      </c>
      <c r="E23" s="59">
        <f t="shared" ref="E23:M23" si="16">ROUNDUP(RANDBETWEEN(2,9))</f>
        <v>6</v>
      </c>
      <c r="F23" s="59">
        <f t="shared" si="16"/>
        <v>5</v>
      </c>
      <c r="G23" s="59">
        <f t="shared" si="16"/>
        <v>9</v>
      </c>
      <c r="H23" s="59">
        <f t="shared" si="16"/>
        <v>5</v>
      </c>
      <c r="I23" s="59">
        <f t="shared" si="16"/>
        <v>4</v>
      </c>
      <c r="J23" s="59">
        <f t="shared" si="16"/>
        <v>3</v>
      </c>
      <c r="K23" s="59">
        <f t="shared" si="16"/>
        <v>3</v>
      </c>
      <c r="L23" s="59">
        <f t="shared" si="16"/>
        <v>8</v>
      </c>
      <c r="M23" s="60">
        <f t="shared" si="16"/>
        <v>8</v>
      </c>
      <c r="N23" s="61"/>
      <c r="O23" s="59"/>
      <c r="P23" s="59"/>
      <c r="Q23" s="59"/>
      <c r="R23" s="59"/>
      <c r="S23" s="59"/>
      <c r="T23" s="59"/>
      <c r="U23" s="59"/>
      <c r="V23" s="60"/>
      <c r="W23" s="21"/>
      <c r="X23" s="56">
        <f t="shared" si="13"/>
        <v>51</v>
      </c>
      <c r="Y23" s="56">
        <f t="shared" si="14"/>
        <v>0</v>
      </c>
      <c r="Z23" s="57">
        <f t="shared" si="15"/>
        <v>51</v>
      </c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>
      <c r="B24" s="64"/>
      <c r="C24" s="52"/>
      <c r="D24" s="5" t="str">
        <f>A47</f>
        <v>BudVinceAltShot</v>
      </c>
      <c r="E24" s="59"/>
      <c r="F24" s="59"/>
      <c r="G24" s="59"/>
      <c r="H24" s="59"/>
      <c r="I24" s="59"/>
      <c r="J24" s="59"/>
      <c r="K24" s="59"/>
      <c r="L24" s="59"/>
      <c r="M24" s="60"/>
      <c r="N24" s="61">
        <f t="shared" ref="N24:V24" si="17">ROUNDUP(RANDBETWEEN(2,9))</f>
        <v>6</v>
      </c>
      <c r="O24" s="59">
        <f t="shared" si="17"/>
        <v>5</v>
      </c>
      <c r="P24" s="59">
        <f t="shared" si="17"/>
        <v>6</v>
      </c>
      <c r="Q24" s="59">
        <f t="shared" si="17"/>
        <v>2</v>
      </c>
      <c r="R24" s="59">
        <f t="shared" si="17"/>
        <v>7</v>
      </c>
      <c r="S24" s="59">
        <f t="shared" si="17"/>
        <v>7</v>
      </c>
      <c r="T24" s="59">
        <f t="shared" si="17"/>
        <v>3</v>
      </c>
      <c r="U24" s="59">
        <f t="shared" si="17"/>
        <v>9</v>
      </c>
      <c r="V24" s="60">
        <f t="shared" si="17"/>
        <v>3</v>
      </c>
      <c r="W24" s="21"/>
      <c r="X24" s="56">
        <f t="shared" si="13"/>
        <v>0</v>
      </c>
      <c r="Y24" s="56">
        <f t="shared" si="14"/>
        <v>48</v>
      </c>
      <c r="Z24" s="57">
        <f t="shared" si="15"/>
        <v>48</v>
      </c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>
      <c r="A25" s="21"/>
      <c r="B25" s="64"/>
      <c r="C25" s="58"/>
      <c r="D25" s="5" t="str">
        <f t="shared" ref="D25:D26" si="18">A30</f>
        <v/>
      </c>
      <c r="E25" s="59"/>
      <c r="F25" s="59"/>
      <c r="G25" s="59"/>
      <c r="H25" s="59"/>
      <c r="I25" s="59"/>
      <c r="J25" s="59"/>
      <c r="K25" s="59"/>
      <c r="L25" s="59"/>
      <c r="M25" s="60"/>
      <c r="N25" s="61"/>
      <c r="O25" s="59"/>
      <c r="P25" s="59"/>
      <c r="Q25" s="59"/>
      <c r="R25" s="59"/>
      <c r="S25" s="59"/>
      <c r="T25" s="59"/>
      <c r="U25" s="59"/>
      <c r="V25" s="60"/>
      <c r="W25" s="21"/>
      <c r="X25" s="62"/>
      <c r="Y25" s="62"/>
      <c r="Z25" s="63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>
      <c r="A26" s="21" t="str">
        <f>$I$3&amp;$I$5&amp;$E$10</f>
        <v>BrettMattScramble</v>
      </c>
      <c r="B26" s="64">
        <f>VLOOKUP($I$3, Information!$B$22:$G$37, 4, FALSE)+VLOOKUP($I$5, Information!$B$22:$G$37, 4, FALSE)</f>
        <v>17.16</v>
      </c>
      <c r="C26" s="65" t="s">
        <v>56</v>
      </c>
      <c r="D26" s="5" t="str">
        <f t="shared" si="18"/>
        <v>KyleJamesScramble</v>
      </c>
      <c r="E26" s="66">
        <f t="shared" ref="E26:M26" si="19">ROUNDUP(RANDBETWEEN(2,9))</f>
        <v>5</v>
      </c>
      <c r="F26" s="66">
        <f t="shared" si="19"/>
        <v>9</v>
      </c>
      <c r="G26" s="66">
        <f t="shared" si="19"/>
        <v>7</v>
      </c>
      <c r="H26" s="66">
        <f t="shared" si="19"/>
        <v>8</v>
      </c>
      <c r="I26" s="66">
        <f t="shared" si="19"/>
        <v>9</v>
      </c>
      <c r="J26" s="66">
        <f t="shared" si="19"/>
        <v>9</v>
      </c>
      <c r="K26" s="66">
        <f t="shared" si="19"/>
        <v>2</v>
      </c>
      <c r="L26" s="66">
        <f t="shared" si="19"/>
        <v>4</v>
      </c>
      <c r="M26" s="67">
        <f t="shared" si="19"/>
        <v>5</v>
      </c>
      <c r="N26" s="68"/>
      <c r="O26" s="66"/>
      <c r="P26" s="66"/>
      <c r="Q26" s="66"/>
      <c r="R26" s="66"/>
      <c r="S26" s="66"/>
      <c r="T26" s="66"/>
      <c r="U26" s="66"/>
      <c r="V26" s="67"/>
      <c r="W26" s="21"/>
      <c r="X26" s="56">
        <f t="shared" ref="X26:X29" si="21">SUM(E26:M26)</f>
        <v>58</v>
      </c>
      <c r="Y26" s="56">
        <f t="shared" ref="Y26:Y29" si="22">SUM(N26:V26)</f>
        <v>0</v>
      </c>
      <c r="Z26" s="57">
        <f t="shared" ref="Z26:Z29" si="23">sum(X26,Y26)</f>
        <v>58</v>
      </c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>
      <c r="B27" s="64"/>
      <c r="C27" s="52"/>
      <c r="D27" s="5" t="str">
        <f>A50</f>
        <v>KyleJamesAltShot</v>
      </c>
      <c r="E27" s="66"/>
      <c r="F27" s="66"/>
      <c r="G27" s="66"/>
      <c r="H27" s="66"/>
      <c r="I27" s="66"/>
      <c r="J27" s="66"/>
      <c r="K27" s="66"/>
      <c r="L27" s="66"/>
      <c r="M27" s="67"/>
      <c r="N27" s="68">
        <f t="shared" ref="N27:V27" si="20">ROUNDUP(RANDBETWEEN(2,9))</f>
        <v>9</v>
      </c>
      <c r="O27" s="66">
        <f t="shared" si="20"/>
        <v>8</v>
      </c>
      <c r="P27" s="66">
        <f t="shared" si="20"/>
        <v>9</v>
      </c>
      <c r="Q27" s="66">
        <f t="shared" si="20"/>
        <v>3</v>
      </c>
      <c r="R27" s="66">
        <f t="shared" si="20"/>
        <v>5</v>
      </c>
      <c r="S27" s="66">
        <f t="shared" si="20"/>
        <v>8</v>
      </c>
      <c r="T27" s="66">
        <f t="shared" si="20"/>
        <v>6</v>
      </c>
      <c r="U27" s="66">
        <f t="shared" si="20"/>
        <v>7</v>
      </c>
      <c r="V27" s="67">
        <f t="shared" si="20"/>
        <v>9</v>
      </c>
      <c r="W27" s="21"/>
      <c r="X27" s="56">
        <f t="shared" si="21"/>
        <v>0</v>
      </c>
      <c r="Y27" s="56">
        <f t="shared" si="22"/>
        <v>64</v>
      </c>
      <c r="Z27" s="57">
        <f t="shared" si="23"/>
        <v>64</v>
      </c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>
      <c r="A28" s="21" t="str">
        <f>$K$3&amp;$K$5&amp;$E$10</f>
        <v>BudVinceScramble</v>
      </c>
      <c r="B28" s="64">
        <f>VLOOKUP($K$3, Information!$B$22:$G$37, 4, FALSE)+VLOOKUP($K$5, Information!$B$22:$G$37, 4, FALSE)</f>
        <v>14.28</v>
      </c>
      <c r="C28" s="52"/>
      <c r="D28" s="5" t="str">
        <f>A33</f>
        <v>DillonJuanScramble</v>
      </c>
      <c r="E28" s="66">
        <f t="shared" ref="E28:M28" si="24">ROUNDUP(RANDBETWEEN(2,9))</f>
        <v>5</v>
      </c>
      <c r="F28" s="66">
        <f t="shared" si="24"/>
        <v>2</v>
      </c>
      <c r="G28" s="66">
        <f t="shared" si="24"/>
        <v>4</v>
      </c>
      <c r="H28" s="66">
        <f t="shared" si="24"/>
        <v>6</v>
      </c>
      <c r="I28" s="66">
        <f t="shared" si="24"/>
        <v>9</v>
      </c>
      <c r="J28" s="66">
        <f t="shared" si="24"/>
        <v>7</v>
      </c>
      <c r="K28" s="66">
        <f t="shared" si="24"/>
        <v>8</v>
      </c>
      <c r="L28" s="66">
        <f t="shared" si="24"/>
        <v>3</v>
      </c>
      <c r="M28" s="67">
        <f t="shared" si="24"/>
        <v>4</v>
      </c>
      <c r="N28" s="68"/>
      <c r="O28" s="66"/>
      <c r="P28" s="66"/>
      <c r="Q28" s="66"/>
      <c r="R28" s="66"/>
      <c r="S28" s="66"/>
      <c r="T28" s="66"/>
      <c r="U28" s="66"/>
      <c r="V28" s="67"/>
      <c r="W28" s="21"/>
      <c r="X28" s="56">
        <f t="shared" si="21"/>
        <v>48</v>
      </c>
      <c r="Y28" s="56">
        <f t="shared" si="22"/>
        <v>0</v>
      </c>
      <c r="Z28" s="57">
        <f t="shared" si="23"/>
        <v>48</v>
      </c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>
      <c r="B29" s="64"/>
      <c r="C29" s="52"/>
      <c r="D29" s="5" t="str">
        <f>A52</f>
        <v>DillonJuanAltShot</v>
      </c>
      <c r="E29" s="66"/>
      <c r="F29" s="66"/>
      <c r="G29" s="66"/>
      <c r="H29" s="66"/>
      <c r="I29" s="66"/>
      <c r="J29" s="66"/>
      <c r="K29" s="66"/>
      <c r="L29" s="66"/>
      <c r="M29" s="67"/>
      <c r="N29" s="68">
        <f t="shared" ref="N29:V29" si="25">ROUNDUP(RANDBETWEEN(2,9))</f>
        <v>7</v>
      </c>
      <c r="O29" s="66">
        <f t="shared" si="25"/>
        <v>8</v>
      </c>
      <c r="P29" s="66">
        <f t="shared" si="25"/>
        <v>2</v>
      </c>
      <c r="Q29" s="66">
        <f t="shared" si="25"/>
        <v>8</v>
      </c>
      <c r="R29" s="66">
        <f t="shared" si="25"/>
        <v>4</v>
      </c>
      <c r="S29" s="66">
        <f t="shared" si="25"/>
        <v>5</v>
      </c>
      <c r="T29" s="66">
        <f t="shared" si="25"/>
        <v>9</v>
      </c>
      <c r="U29" s="66">
        <f t="shared" si="25"/>
        <v>7</v>
      </c>
      <c r="V29" s="67">
        <f t="shared" si="25"/>
        <v>7</v>
      </c>
      <c r="W29" s="21"/>
      <c r="X29" s="56">
        <f t="shared" si="21"/>
        <v>0</v>
      </c>
      <c r="Y29" s="56">
        <f t="shared" si="22"/>
        <v>57</v>
      </c>
      <c r="Z29" s="57">
        <f t="shared" si="23"/>
        <v>57</v>
      </c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>
      <c r="A30" s="21"/>
      <c r="B30" s="64"/>
      <c r="C30" s="58"/>
      <c r="D30" s="5" t="str">
        <f t="shared" ref="D30:D31" si="26">A35</f>
        <v/>
      </c>
      <c r="E30" s="59"/>
      <c r="F30" s="59"/>
      <c r="G30" s="59"/>
      <c r="H30" s="59"/>
      <c r="I30" s="59"/>
      <c r="J30" s="59"/>
      <c r="K30" s="59"/>
      <c r="L30" s="59"/>
      <c r="M30" s="60"/>
      <c r="N30" s="61"/>
      <c r="O30" s="59"/>
      <c r="P30" s="59"/>
      <c r="Q30" s="59"/>
      <c r="R30" s="59"/>
      <c r="S30" s="59"/>
      <c r="T30" s="59"/>
      <c r="U30" s="59"/>
      <c r="V30" s="60"/>
      <c r="W30" s="21"/>
      <c r="X30" s="62"/>
      <c r="Y30" s="62"/>
      <c r="Z30" s="63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>
      <c r="A31" s="21" t="str">
        <f>$M$3&amp;$M$5&amp;$E$10</f>
        <v>KyleJamesScramble</v>
      </c>
      <c r="B31" s="64">
        <f>VLOOKUP($M$3, Information!$B$22:$G$37, 4, FALSE)+VLOOKUP($M$5, Information!$B$22:$G$37, 4, FALSE)</f>
        <v>10.56</v>
      </c>
      <c r="C31" s="65" t="s">
        <v>56</v>
      </c>
      <c r="D31" s="5" t="str">
        <f t="shared" si="26"/>
        <v>DanJonScramble</v>
      </c>
      <c r="E31" s="66">
        <f t="shared" ref="E31:M31" si="27">ROUNDUP(RANDBETWEEN(2,9))</f>
        <v>8</v>
      </c>
      <c r="F31" s="66">
        <f t="shared" si="27"/>
        <v>9</v>
      </c>
      <c r="G31" s="66">
        <f t="shared" si="27"/>
        <v>8</v>
      </c>
      <c r="H31" s="66">
        <f t="shared" si="27"/>
        <v>4</v>
      </c>
      <c r="I31" s="66">
        <f t="shared" si="27"/>
        <v>6</v>
      </c>
      <c r="J31" s="66">
        <f t="shared" si="27"/>
        <v>3</v>
      </c>
      <c r="K31" s="66">
        <f t="shared" si="27"/>
        <v>7</v>
      </c>
      <c r="L31" s="66">
        <f t="shared" si="27"/>
        <v>8</v>
      </c>
      <c r="M31" s="67">
        <f t="shared" si="27"/>
        <v>4</v>
      </c>
      <c r="N31" s="68"/>
      <c r="O31" s="66"/>
      <c r="P31" s="66"/>
      <c r="Q31" s="66"/>
      <c r="R31" s="66"/>
      <c r="S31" s="66"/>
      <c r="T31" s="66"/>
      <c r="U31" s="66"/>
      <c r="V31" s="67"/>
      <c r="W31" s="21"/>
      <c r="X31" s="56">
        <f t="shared" ref="X31:X34" si="29">SUM(E31:M31)</f>
        <v>57</v>
      </c>
      <c r="Y31" s="56">
        <f t="shared" ref="Y31:Y34" si="30">SUM(N31:V31)</f>
        <v>0</v>
      </c>
      <c r="Z31" s="57">
        <f t="shared" ref="Z31:Z34" si="31">sum(X31,Y31)</f>
        <v>57</v>
      </c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>
      <c r="B32" s="64"/>
      <c r="C32" s="52"/>
      <c r="D32" s="5" t="str">
        <f>A55</f>
        <v>DanJonAltShot</v>
      </c>
      <c r="E32" s="66"/>
      <c r="F32" s="66"/>
      <c r="G32" s="66"/>
      <c r="H32" s="66"/>
      <c r="I32" s="66"/>
      <c r="J32" s="66"/>
      <c r="K32" s="66"/>
      <c r="L32" s="66"/>
      <c r="M32" s="67"/>
      <c r="N32" s="68">
        <f t="shared" ref="N32:V32" si="28">ROUNDUP(RANDBETWEEN(2,9))</f>
        <v>6</v>
      </c>
      <c r="O32" s="66">
        <f t="shared" si="28"/>
        <v>3</v>
      </c>
      <c r="P32" s="66">
        <f t="shared" si="28"/>
        <v>9</v>
      </c>
      <c r="Q32" s="66">
        <f t="shared" si="28"/>
        <v>6</v>
      </c>
      <c r="R32" s="66">
        <f t="shared" si="28"/>
        <v>4</v>
      </c>
      <c r="S32" s="66">
        <f t="shared" si="28"/>
        <v>8</v>
      </c>
      <c r="T32" s="66">
        <f t="shared" si="28"/>
        <v>9</v>
      </c>
      <c r="U32" s="66">
        <f t="shared" si="28"/>
        <v>4</v>
      </c>
      <c r="V32" s="67">
        <f t="shared" si="28"/>
        <v>6</v>
      </c>
      <c r="W32" s="21"/>
      <c r="X32" s="56">
        <f t="shared" si="29"/>
        <v>0</v>
      </c>
      <c r="Y32" s="56">
        <f t="shared" si="30"/>
        <v>55</v>
      </c>
      <c r="Z32" s="57">
        <f t="shared" si="31"/>
        <v>55</v>
      </c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>
      <c r="A33" s="21" t="str">
        <f>$O$3&amp;$O$5&amp;$E$10</f>
        <v>DillonJuanScramble</v>
      </c>
      <c r="B33" s="64">
        <f>VLOOKUP($O$3, Information!$B$22:$G$37, 4, FALSE)+VLOOKUP($O$5, Information!$B$22:$G$37, 4, FALSE)</f>
        <v>12.72</v>
      </c>
      <c r="C33" s="52"/>
      <c r="D33" s="5" t="str">
        <f>A38</f>
        <v>JoePaCoreyScramble</v>
      </c>
      <c r="E33" s="66">
        <f t="shared" ref="E33:M33" si="32">ROUNDUP(RANDBETWEEN(2,9))</f>
        <v>3</v>
      </c>
      <c r="F33" s="66">
        <f t="shared" si="32"/>
        <v>8</v>
      </c>
      <c r="G33" s="66">
        <f t="shared" si="32"/>
        <v>3</v>
      </c>
      <c r="H33" s="66">
        <f t="shared" si="32"/>
        <v>8</v>
      </c>
      <c r="I33" s="66">
        <f t="shared" si="32"/>
        <v>8</v>
      </c>
      <c r="J33" s="66">
        <f t="shared" si="32"/>
        <v>7</v>
      </c>
      <c r="K33" s="66">
        <f t="shared" si="32"/>
        <v>4</v>
      </c>
      <c r="L33" s="66">
        <f t="shared" si="32"/>
        <v>9</v>
      </c>
      <c r="M33" s="67">
        <f t="shared" si="32"/>
        <v>6</v>
      </c>
      <c r="N33" s="68"/>
      <c r="O33" s="66"/>
      <c r="P33" s="66"/>
      <c r="Q33" s="66"/>
      <c r="R33" s="66"/>
      <c r="S33" s="66"/>
      <c r="T33" s="66"/>
      <c r="U33" s="66"/>
      <c r="V33" s="67"/>
      <c r="W33" s="21"/>
      <c r="X33" s="56">
        <f t="shared" si="29"/>
        <v>56</v>
      </c>
      <c r="Y33" s="56">
        <f t="shared" si="30"/>
        <v>0</v>
      </c>
      <c r="Z33" s="57">
        <f t="shared" si="31"/>
        <v>56</v>
      </c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>
      <c r="B34" s="64"/>
      <c r="C34" s="72"/>
      <c r="D34" s="73" t="str">
        <f>A57</f>
        <v>JoePaCoreyAltShot</v>
      </c>
      <c r="E34" s="103"/>
      <c r="F34" s="103"/>
      <c r="G34" s="103"/>
      <c r="H34" s="103"/>
      <c r="I34" s="103"/>
      <c r="J34" s="103"/>
      <c r="K34" s="103"/>
      <c r="L34" s="103"/>
      <c r="M34" s="114"/>
      <c r="N34" s="102">
        <f t="shared" ref="N34:V34" si="33">ROUNDUP(RANDBETWEEN(2,9))</f>
        <v>6</v>
      </c>
      <c r="O34" s="103">
        <f t="shared" si="33"/>
        <v>2</v>
      </c>
      <c r="P34" s="103">
        <f t="shared" si="33"/>
        <v>8</v>
      </c>
      <c r="Q34" s="103">
        <f t="shared" si="33"/>
        <v>7</v>
      </c>
      <c r="R34" s="103">
        <f t="shared" si="33"/>
        <v>3</v>
      </c>
      <c r="S34" s="103">
        <f t="shared" si="33"/>
        <v>3</v>
      </c>
      <c r="T34" s="103">
        <f t="shared" si="33"/>
        <v>2</v>
      </c>
      <c r="U34" s="103">
        <f t="shared" si="33"/>
        <v>2</v>
      </c>
      <c r="V34" s="114">
        <f t="shared" si="33"/>
        <v>8</v>
      </c>
      <c r="W34" s="21"/>
      <c r="X34" s="77">
        <f t="shared" si="29"/>
        <v>0</v>
      </c>
      <c r="Y34" s="77">
        <f t="shared" si="30"/>
        <v>41</v>
      </c>
      <c r="Z34" s="78">
        <f t="shared" si="31"/>
        <v>41</v>
      </c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>
      <c r="A35" s="21"/>
      <c r="B35" s="64"/>
      <c r="M35" s="27"/>
      <c r="N35" s="26"/>
      <c r="W35" s="21"/>
      <c r="X35" s="21"/>
      <c r="Y35" s="21"/>
    </row>
    <row r="36">
      <c r="A36" s="21" t="str">
        <f>$Q$3&amp;$Q$5&amp;$E$10</f>
        <v>DanJonScramble</v>
      </c>
      <c r="B36" s="64">
        <f>VLOOKUP($Q$3, Information!$B$22:$G$37, 4, FALSE)+VLOOKUP($Q$5, Information!$B$22:$G$37, 4, FALSE)</f>
        <v>11.88</v>
      </c>
      <c r="C36" s="79" t="s">
        <v>57</v>
      </c>
      <c r="D36" s="46" t="str">
        <f t="shared" ref="D36:D54" si="35">D16</f>
        <v>ColeToveyScramble</v>
      </c>
      <c r="E36" s="19">
        <f t="shared" ref="E36:V36" si="34">IF(VLOOKUP($D36,$A$4:$B$57,2,FALSE)&gt;=E$13,1,0)</f>
        <v>0</v>
      </c>
      <c r="F36" s="19">
        <f t="shared" si="34"/>
        <v>0</v>
      </c>
      <c r="G36" s="19">
        <f t="shared" si="34"/>
        <v>1</v>
      </c>
      <c r="H36" s="19">
        <f t="shared" si="34"/>
        <v>1</v>
      </c>
      <c r="I36" s="19">
        <f t="shared" si="34"/>
        <v>1</v>
      </c>
      <c r="J36" s="19">
        <f t="shared" si="34"/>
        <v>1</v>
      </c>
      <c r="K36" s="19">
        <f t="shared" si="34"/>
        <v>0</v>
      </c>
      <c r="L36" s="19">
        <f t="shared" si="34"/>
        <v>0</v>
      </c>
      <c r="M36" s="80">
        <f t="shared" si="34"/>
        <v>1</v>
      </c>
      <c r="N36" s="81">
        <f t="shared" si="34"/>
        <v>1</v>
      </c>
      <c r="O36" s="19">
        <f t="shared" si="34"/>
        <v>0</v>
      </c>
      <c r="P36" s="19">
        <f t="shared" si="34"/>
        <v>1</v>
      </c>
      <c r="Q36" s="19">
        <f t="shared" si="34"/>
        <v>1</v>
      </c>
      <c r="R36" s="19">
        <f t="shared" si="34"/>
        <v>0</v>
      </c>
      <c r="S36" s="19">
        <f t="shared" si="34"/>
        <v>0</v>
      </c>
      <c r="T36" s="19">
        <f t="shared" si="34"/>
        <v>1</v>
      </c>
      <c r="U36" s="19">
        <f t="shared" si="34"/>
        <v>0</v>
      </c>
      <c r="V36" s="80">
        <f t="shared" si="34"/>
        <v>1</v>
      </c>
      <c r="W36" s="21"/>
      <c r="X36" s="82">
        <f t="shared" ref="X36:X39" si="37">SUM(E36:M36)</f>
        <v>5</v>
      </c>
      <c r="Y36" s="82">
        <f t="shared" ref="Y36:Y39" si="38">SUM(N36:V36)</f>
        <v>5</v>
      </c>
      <c r="Z36" s="83">
        <f t="shared" ref="Z36:Z39" si="39">sum(X36,Y36)</f>
        <v>10</v>
      </c>
    </row>
    <row r="37">
      <c r="B37" s="64"/>
      <c r="C37" s="52"/>
      <c r="D37" s="5" t="str">
        <f t="shared" si="35"/>
        <v>ColeToveyAltShot</v>
      </c>
      <c r="E37" s="84">
        <f t="shared" ref="E37:V37" si="36">IF(VLOOKUP($D37,$A$4:$B$57,2,FALSE)&gt;=E$13,1,0)</f>
        <v>1</v>
      </c>
      <c r="F37" s="84">
        <f t="shared" si="36"/>
        <v>1</v>
      </c>
      <c r="G37" s="84">
        <f t="shared" si="36"/>
        <v>1</v>
      </c>
      <c r="H37" s="84">
        <f t="shared" si="36"/>
        <v>1</v>
      </c>
      <c r="I37" s="84">
        <f t="shared" si="36"/>
        <v>1</v>
      </c>
      <c r="J37" s="84">
        <f t="shared" si="36"/>
        <v>1</v>
      </c>
      <c r="K37" s="84">
        <f t="shared" si="36"/>
        <v>1</v>
      </c>
      <c r="L37" s="84">
        <f t="shared" si="36"/>
        <v>1</v>
      </c>
      <c r="M37" s="27">
        <f t="shared" si="36"/>
        <v>1</v>
      </c>
      <c r="N37" s="26">
        <f t="shared" si="36"/>
        <v>1</v>
      </c>
      <c r="O37" s="84">
        <f t="shared" si="36"/>
        <v>1</v>
      </c>
      <c r="P37" s="84">
        <f t="shared" si="36"/>
        <v>1</v>
      </c>
      <c r="Q37" s="84">
        <f t="shared" si="36"/>
        <v>1</v>
      </c>
      <c r="R37" s="84">
        <f t="shared" si="36"/>
        <v>1</v>
      </c>
      <c r="S37" s="84">
        <f t="shared" si="36"/>
        <v>1</v>
      </c>
      <c r="T37" s="84">
        <f t="shared" si="36"/>
        <v>1</v>
      </c>
      <c r="U37" s="84">
        <f t="shared" si="36"/>
        <v>1</v>
      </c>
      <c r="V37" s="27">
        <f t="shared" si="36"/>
        <v>1</v>
      </c>
      <c r="W37" s="21"/>
      <c r="X37" s="62">
        <f t="shared" si="37"/>
        <v>9</v>
      </c>
      <c r="Y37" s="62">
        <f t="shared" si="38"/>
        <v>9</v>
      </c>
      <c r="Z37" s="63">
        <f t="shared" si="39"/>
        <v>18</v>
      </c>
    </row>
    <row r="38">
      <c r="A38" s="21" t="str">
        <f>$S$3&amp;$S$5&amp;$E$10</f>
        <v>JoePaCoreyScramble</v>
      </c>
      <c r="B38" s="64">
        <f>VLOOKUP($S$3, Information!$B$22:$G$37, 4, FALSE)+VLOOKUP($S$5, Information!$B$22:$G$37, 4, FALSE)</f>
        <v>8.92</v>
      </c>
      <c r="C38" s="52"/>
      <c r="D38" s="5" t="str">
        <f t="shared" si="35"/>
        <v>ConnorAndyScramble</v>
      </c>
      <c r="E38" s="84">
        <f t="shared" ref="E38:V38" si="40">IF(VLOOKUP($D38,$A$4:$B$57,2,FALSE)&gt;=E$13,1,0)</f>
        <v>0</v>
      </c>
      <c r="F38" s="84">
        <f t="shared" si="40"/>
        <v>0</v>
      </c>
      <c r="G38" s="84">
        <f t="shared" si="40"/>
        <v>1</v>
      </c>
      <c r="H38" s="84">
        <f t="shared" si="40"/>
        <v>1</v>
      </c>
      <c r="I38" s="84">
        <f t="shared" si="40"/>
        <v>1</v>
      </c>
      <c r="J38" s="84">
        <f t="shared" si="40"/>
        <v>1</v>
      </c>
      <c r="K38" s="84">
        <f t="shared" si="40"/>
        <v>0</v>
      </c>
      <c r="L38" s="84">
        <f t="shared" si="40"/>
        <v>0</v>
      </c>
      <c r="M38" s="27">
        <f t="shared" si="40"/>
        <v>1</v>
      </c>
      <c r="N38" s="26">
        <f t="shared" si="40"/>
        <v>1</v>
      </c>
      <c r="O38" s="84">
        <f t="shared" si="40"/>
        <v>0</v>
      </c>
      <c r="P38" s="84">
        <f t="shared" si="40"/>
        <v>1</v>
      </c>
      <c r="Q38" s="84">
        <f t="shared" si="40"/>
        <v>1</v>
      </c>
      <c r="R38" s="84">
        <f t="shared" si="40"/>
        <v>0</v>
      </c>
      <c r="S38" s="84">
        <f t="shared" si="40"/>
        <v>0</v>
      </c>
      <c r="T38" s="84">
        <f t="shared" si="40"/>
        <v>1</v>
      </c>
      <c r="U38" s="84">
        <f t="shared" si="40"/>
        <v>0</v>
      </c>
      <c r="V38" s="27">
        <f t="shared" si="40"/>
        <v>1</v>
      </c>
      <c r="W38" s="21"/>
      <c r="X38" s="62">
        <f t="shared" si="37"/>
        <v>5</v>
      </c>
      <c r="Y38" s="62">
        <f t="shared" si="38"/>
        <v>5</v>
      </c>
      <c r="Z38" s="63">
        <f t="shared" si="39"/>
        <v>10</v>
      </c>
    </row>
    <row r="39">
      <c r="B39" s="64"/>
      <c r="C39" s="52"/>
      <c r="D39" s="5" t="str">
        <f t="shared" si="35"/>
        <v>ConnorAndyAltShot</v>
      </c>
      <c r="E39" s="84">
        <f t="shared" ref="E39:V39" si="41">IF(VLOOKUP($D39,$A$4:$B$57,2,FALSE)&gt;=E$13,1,0)</f>
        <v>1</v>
      </c>
      <c r="F39" s="84">
        <f t="shared" si="41"/>
        <v>1</v>
      </c>
      <c r="G39" s="84">
        <f t="shared" si="41"/>
        <v>1</v>
      </c>
      <c r="H39" s="84">
        <f t="shared" si="41"/>
        <v>1</v>
      </c>
      <c r="I39" s="84">
        <f t="shared" si="41"/>
        <v>1</v>
      </c>
      <c r="J39" s="84">
        <f t="shared" si="41"/>
        <v>1</v>
      </c>
      <c r="K39" s="84">
        <f t="shared" si="41"/>
        <v>1</v>
      </c>
      <c r="L39" s="84">
        <f t="shared" si="41"/>
        <v>1</v>
      </c>
      <c r="M39" s="27">
        <f t="shared" si="41"/>
        <v>1</v>
      </c>
      <c r="N39" s="26">
        <f t="shared" si="41"/>
        <v>1</v>
      </c>
      <c r="O39" s="84">
        <f t="shared" si="41"/>
        <v>1</v>
      </c>
      <c r="P39" s="84">
        <f t="shared" si="41"/>
        <v>1</v>
      </c>
      <c r="Q39" s="84">
        <f t="shared" si="41"/>
        <v>1</v>
      </c>
      <c r="R39" s="84">
        <f t="shared" si="41"/>
        <v>1</v>
      </c>
      <c r="S39" s="84">
        <f t="shared" si="41"/>
        <v>1</v>
      </c>
      <c r="T39" s="84">
        <f t="shared" si="41"/>
        <v>1</v>
      </c>
      <c r="U39" s="84">
        <f t="shared" si="41"/>
        <v>1</v>
      </c>
      <c r="V39" s="27">
        <f t="shared" si="41"/>
        <v>1</v>
      </c>
      <c r="W39" s="21"/>
      <c r="X39" s="62">
        <f t="shared" si="37"/>
        <v>9</v>
      </c>
      <c r="Y39" s="62">
        <f t="shared" si="38"/>
        <v>9</v>
      </c>
      <c r="Z39" s="63">
        <f t="shared" si="39"/>
        <v>18</v>
      </c>
    </row>
    <row r="40">
      <c r="A40" s="21" t="str">
        <f>$E$3&amp;$E$5&amp;$N$10</f>
        <v>ColeToveyAltShot</v>
      </c>
      <c r="B40" s="64">
        <f>VLOOKUP($E$3, Information!$B$22:$G$37, 5, FALSE)+VLOOKUP($E$5, Information!$B$22:$G$37, 5, FALSE)</f>
        <v>18.55</v>
      </c>
      <c r="C40" s="58"/>
      <c r="D40" s="5" t="str">
        <f t="shared" si="35"/>
        <v/>
      </c>
      <c r="M40" s="27"/>
      <c r="N40" s="26"/>
      <c r="V40" s="27"/>
      <c r="W40" s="21"/>
      <c r="X40" s="62"/>
      <c r="Y40" s="62"/>
      <c r="Z40" s="63"/>
    </row>
    <row r="41">
      <c r="B41" s="64"/>
      <c r="C41" s="85" t="s">
        <v>57</v>
      </c>
      <c r="D41" s="5" t="str">
        <f t="shared" si="35"/>
        <v>BrettMattScramble</v>
      </c>
      <c r="E41" s="84">
        <f t="shared" ref="E41:V41" si="42">IF(VLOOKUP($D41,$A$4:$B$57,2,FALSE)&gt;=E$13,1,0)</f>
        <v>1</v>
      </c>
      <c r="F41" s="84">
        <f t="shared" si="42"/>
        <v>1</v>
      </c>
      <c r="G41" s="84">
        <f t="shared" si="42"/>
        <v>1</v>
      </c>
      <c r="H41" s="84">
        <f t="shared" si="42"/>
        <v>1</v>
      </c>
      <c r="I41" s="84">
        <f t="shared" si="42"/>
        <v>1</v>
      </c>
      <c r="J41" s="84">
        <f t="shared" si="42"/>
        <v>1</v>
      </c>
      <c r="K41" s="84">
        <f t="shared" si="42"/>
        <v>1</v>
      </c>
      <c r="L41" s="84">
        <f t="shared" si="42"/>
        <v>1</v>
      </c>
      <c r="M41" s="27">
        <f t="shared" si="42"/>
        <v>1</v>
      </c>
      <c r="N41" s="26">
        <f t="shared" si="42"/>
        <v>1</v>
      </c>
      <c r="O41" s="84">
        <f t="shared" si="42"/>
        <v>1</v>
      </c>
      <c r="P41" s="84">
        <f t="shared" si="42"/>
        <v>1</v>
      </c>
      <c r="Q41" s="84">
        <f t="shared" si="42"/>
        <v>1</v>
      </c>
      <c r="R41" s="84">
        <f t="shared" si="42"/>
        <v>0</v>
      </c>
      <c r="S41" s="84">
        <f t="shared" si="42"/>
        <v>1</v>
      </c>
      <c r="T41" s="84">
        <f t="shared" si="42"/>
        <v>1</v>
      </c>
      <c r="U41" s="84">
        <f t="shared" si="42"/>
        <v>1</v>
      </c>
      <c r="V41" s="27">
        <f t="shared" si="42"/>
        <v>1</v>
      </c>
      <c r="W41" s="21"/>
      <c r="X41" s="62">
        <f t="shared" ref="X41:X44" si="44">SUM(E41:M41)</f>
        <v>9</v>
      </c>
      <c r="Y41" s="62">
        <f t="shared" ref="Y41:Y44" si="45">SUM(N41:V41)</f>
        <v>8</v>
      </c>
      <c r="Z41" s="63">
        <f t="shared" ref="Z41:Z44" si="46">sum(X41,Y41)</f>
        <v>17</v>
      </c>
    </row>
    <row r="42">
      <c r="A42" s="21" t="str">
        <f>$G$3&amp;$G$5&amp;$N$10</f>
        <v>ConnorAndyAltShot</v>
      </c>
      <c r="B42" s="64">
        <f>VLOOKUP($G$3, Information!$B$22:$G$37, 5, FALSE)+VLOOKUP($G$5, Information!$B$22:$G$37, 5, FALSE)</f>
        <v>18.06</v>
      </c>
      <c r="C42" s="52"/>
      <c r="D42" s="5" t="str">
        <f t="shared" si="35"/>
        <v>BrettMattAltShot</v>
      </c>
      <c r="E42" s="84">
        <f t="shared" ref="E42:V42" si="43">IF(VLOOKUP($D42,$A$4:$B$57,2,FALSE)&gt;=E$13,1,0)</f>
        <v>1</v>
      </c>
      <c r="F42" s="84">
        <f t="shared" si="43"/>
        <v>1</v>
      </c>
      <c r="G42" s="84">
        <f t="shared" si="43"/>
        <v>1</v>
      </c>
      <c r="H42" s="84">
        <f t="shared" si="43"/>
        <v>1</v>
      </c>
      <c r="I42" s="84">
        <f t="shared" si="43"/>
        <v>1</v>
      </c>
      <c r="J42" s="84">
        <f t="shared" si="43"/>
        <v>1</v>
      </c>
      <c r="K42" s="84">
        <f t="shared" si="43"/>
        <v>1</v>
      </c>
      <c r="L42" s="84">
        <f t="shared" si="43"/>
        <v>1</v>
      </c>
      <c r="M42" s="27">
        <f t="shared" si="43"/>
        <v>1</v>
      </c>
      <c r="N42" s="26">
        <f t="shared" si="43"/>
        <v>1</v>
      </c>
      <c r="O42" s="84">
        <f t="shared" si="43"/>
        <v>1</v>
      </c>
      <c r="P42" s="84">
        <f t="shared" si="43"/>
        <v>1</v>
      </c>
      <c r="Q42" s="84">
        <f t="shared" si="43"/>
        <v>1</v>
      </c>
      <c r="R42" s="84">
        <f t="shared" si="43"/>
        <v>1</v>
      </c>
      <c r="S42" s="84">
        <f t="shared" si="43"/>
        <v>1</v>
      </c>
      <c r="T42" s="84">
        <f t="shared" si="43"/>
        <v>1</v>
      </c>
      <c r="U42" s="84">
        <f t="shared" si="43"/>
        <v>1</v>
      </c>
      <c r="V42" s="27">
        <f t="shared" si="43"/>
        <v>1</v>
      </c>
      <c r="W42" s="21"/>
      <c r="X42" s="62">
        <f t="shared" si="44"/>
        <v>9</v>
      </c>
      <c r="Y42" s="62">
        <f t="shared" si="45"/>
        <v>9</v>
      </c>
      <c r="Z42" s="63">
        <f t="shared" si="46"/>
        <v>18</v>
      </c>
    </row>
    <row r="43">
      <c r="B43" s="64"/>
      <c r="C43" s="52"/>
      <c r="D43" s="5" t="str">
        <f t="shared" si="35"/>
        <v>BudVinceScramble</v>
      </c>
      <c r="E43" s="84">
        <f t="shared" ref="E43:V43" si="47">IF(VLOOKUP($D43,$A$4:$B$57,2,FALSE)&gt;=E$13,1,0)</f>
        <v>1</v>
      </c>
      <c r="F43" s="84">
        <f t="shared" si="47"/>
        <v>0</v>
      </c>
      <c r="G43" s="84">
        <f t="shared" si="47"/>
        <v>1</v>
      </c>
      <c r="H43" s="84">
        <f t="shared" si="47"/>
        <v>1</v>
      </c>
      <c r="I43" s="84">
        <f t="shared" si="47"/>
        <v>1</v>
      </c>
      <c r="J43" s="84">
        <f t="shared" si="47"/>
        <v>1</v>
      </c>
      <c r="K43" s="84">
        <f t="shared" si="47"/>
        <v>0</v>
      </c>
      <c r="L43" s="84">
        <f t="shared" si="47"/>
        <v>1</v>
      </c>
      <c r="M43" s="27">
        <f t="shared" si="47"/>
        <v>1</v>
      </c>
      <c r="N43" s="26">
        <f t="shared" si="47"/>
        <v>1</v>
      </c>
      <c r="O43" s="84">
        <f t="shared" si="47"/>
        <v>0</v>
      </c>
      <c r="P43" s="84">
        <f t="shared" si="47"/>
        <v>1</v>
      </c>
      <c r="Q43" s="84">
        <f t="shared" si="47"/>
        <v>1</v>
      </c>
      <c r="R43" s="84">
        <f t="shared" si="47"/>
        <v>0</v>
      </c>
      <c r="S43" s="84">
        <f t="shared" si="47"/>
        <v>1</v>
      </c>
      <c r="T43" s="84">
        <f t="shared" si="47"/>
        <v>1</v>
      </c>
      <c r="U43" s="84">
        <f t="shared" si="47"/>
        <v>1</v>
      </c>
      <c r="V43" s="27">
        <f t="shared" si="47"/>
        <v>1</v>
      </c>
      <c r="W43" s="21"/>
      <c r="X43" s="62">
        <f t="shared" si="44"/>
        <v>7</v>
      </c>
      <c r="Y43" s="62">
        <f t="shared" si="45"/>
        <v>7</v>
      </c>
      <c r="Z43" s="63">
        <f t="shared" si="46"/>
        <v>14</v>
      </c>
    </row>
    <row r="44">
      <c r="A44" s="21"/>
      <c r="B44" s="64"/>
      <c r="C44" s="52"/>
      <c r="D44" s="5" t="str">
        <f t="shared" si="35"/>
        <v>BudVinceAltShot</v>
      </c>
      <c r="E44" s="84">
        <f t="shared" ref="E44:V44" si="48">IF(VLOOKUP($D44,$A$4:$B$57,2,FALSE)&gt;=E$13,1,0)</f>
        <v>1</v>
      </c>
      <c r="F44" s="84">
        <f t="shared" si="48"/>
        <v>1</v>
      </c>
      <c r="G44" s="84">
        <f t="shared" si="48"/>
        <v>1</v>
      </c>
      <c r="H44" s="84">
        <f t="shared" si="48"/>
        <v>1</v>
      </c>
      <c r="I44" s="84">
        <f t="shared" si="48"/>
        <v>1</v>
      </c>
      <c r="J44" s="84">
        <f t="shared" si="48"/>
        <v>1</v>
      </c>
      <c r="K44" s="84">
        <f t="shared" si="48"/>
        <v>1</v>
      </c>
      <c r="L44" s="84">
        <f t="shared" si="48"/>
        <v>1</v>
      </c>
      <c r="M44" s="27">
        <f t="shared" si="48"/>
        <v>1</v>
      </c>
      <c r="N44" s="26">
        <f t="shared" si="48"/>
        <v>1</v>
      </c>
      <c r="O44" s="84">
        <f t="shared" si="48"/>
        <v>1</v>
      </c>
      <c r="P44" s="84">
        <f t="shared" si="48"/>
        <v>1</v>
      </c>
      <c r="Q44" s="84">
        <f t="shared" si="48"/>
        <v>1</v>
      </c>
      <c r="R44" s="84">
        <f t="shared" si="48"/>
        <v>1</v>
      </c>
      <c r="S44" s="84">
        <f t="shared" si="48"/>
        <v>1</v>
      </c>
      <c r="T44" s="84">
        <f t="shared" si="48"/>
        <v>1</v>
      </c>
      <c r="U44" s="84">
        <f t="shared" si="48"/>
        <v>1</v>
      </c>
      <c r="V44" s="27">
        <f t="shared" si="48"/>
        <v>1</v>
      </c>
      <c r="W44" s="21"/>
      <c r="X44" s="62">
        <f t="shared" si="44"/>
        <v>9</v>
      </c>
      <c r="Y44" s="62">
        <f t="shared" si="45"/>
        <v>9</v>
      </c>
      <c r="Z44" s="63">
        <f t="shared" si="46"/>
        <v>18</v>
      </c>
    </row>
    <row r="45">
      <c r="A45" s="21" t="str">
        <f>$I$3&amp;$I$5&amp;$N$10</f>
        <v>BrettMattAltShot</v>
      </c>
      <c r="B45" s="64">
        <f>VLOOKUP($I$3, Information!$B$22:$G$37, 5, FALSE)+VLOOKUP($I$5, Information!$B$22:$G$37, 5, FALSE)</f>
        <v>30.03</v>
      </c>
      <c r="C45" s="58"/>
      <c r="D45" s="5" t="str">
        <f t="shared" si="35"/>
        <v/>
      </c>
      <c r="M45" s="27"/>
      <c r="N45" s="26"/>
      <c r="V45" s="27"/>
      <c r="W45" s="21"/>
      <c r="X45" s="62"/>
      <c r="Y45" s="62"/>
      <c r="Z45" s="63"/>
    </row>
    <row r="46">
      <c r="B46" s="64"/>
      <c r="C46" s="85" t="s">
        <v>57</v>
      </c>
      <c r="D46" s="5" t="str">
        <f t="shared" si="35"/>
        <v>KyleJamesScramble</v>
      </c>
      <c r="E46" s="84">
        <f t="shared" ref="E46:V46" si="49">IF(VLOOKUP($D46,$A$4:$B$57,2,FALSE)&gt;=E$13,1,0)</f>
        <v>0</v>
      </c>
      <c r="F46" s="84">
        <f t="shared" si="49"/>
        <v>0</v>
      </c>
      <c r="G46" s="84">
        <f t="shared" si="49"/>
        <v>1</v>
      </c>
      <c r="H46" s="84">
        <f t="shared" si="49"/>
        <v>1</v>
      </c>
      <c r="I46" s="84">
        <f t="shared" si="49"/>
        <v>1</v>
      </c>
      <c r="J46" s="84">
        <f t="shared" si="49"/>
        <v>1</v>
      </c>
      <c r="K46" s="84">
        <f t="shared" si="49"/>
        <v>0</v>
      </c>
      <c r="L46" s="84">
        <f t="shared" si="49"/>
        <v>0</v>
      </c>
      <c r="M46" s="27">
        <f t="shared" si="49"/>
        <v>1</v>
      </c>
      <c r="N46" s="26">
        <f t="shared" si="49"/>
        <v>1</v>
      </c>
      <c r="O46" s="84">
        <f t="shared" si="49"/>
        <v>0</v>
      </c>
      <c r="P46" s="84">
        <f t="shared" si="49"/>
        <v>1</v>
      </c>
      <c r="Q46" s="84">
        <f t="shared" si="49"/>
        <v>1</v>
      </c>
      <c r="R46" s="84">
        <f t="shared" si="49"/>
        <v>0</v>
      </c>
      <c r="S46" s="84">
        <f t="shared" si="49"/>
        <v>0</v>
      </c>
      <c r="T46" s="84">
        <f t="shared" si="49"/>
        <v>1</v>
      </c>
      <c r="U46" s="84">
        <f t="shared" si="49"/>
        <v>0</v>
      </c>
      <c r="V46" s="27">
        <f t="shared" si="49"/>
        <v>1</v>
      </c>
      <c r="W46" s="21"/>
      <c r="X46" s="62">
        <f t="shared" ref="X46:X49" si="51">SUM(E46:M46)</f>
        <v>5</v>
      </c>
      <c r="Y46" s="62">
        <f t="shared" ref="Y46:Y49" si="52">SUM(N46:V46)</f>
        <v>5</v>
      </c>
      <c r="Z46" s="63">
        <f t="shared" ref="Z46:Z49" si="53">sum(X46,Y46)</f>
        <v>10</v>
      </c>
    </row>
    <row r="47">
      <c r="A47" s="21" t="str">
        <f>$K$3&amp;$K$5&amp;$N$10</f>
        <v>BudVinceAltShot</v>
      </c>
      <c r="B47" s="64">
        <f>VLOOKUP($K$3, Information!$B$22:$G$37, 5, FALSE)+VLOOKUP($K$5, Information!$B$22:$G$37, 5, FALSE)</f>
        <v>24.99</v>
      </c>
      <c r="C47" s="52"/>
      <c r="D47" s="5" t="str">
        <f t="shared" si="35"/>
        <v>KyleJamesAltShot</v>
      </c>
      <c r="E47" s="84">
        <f t="shared" ref="E47:V47" si="50">IF(VLOOKUP($D47,$A$4:$B$57,2,FALSE)&gt;=E$13,1,0)</f>
        <v>1</v>
      </c>
      <c r="F47" s="84">
        <f t="shared" si="50"/>
        <v>1</v>
      </c>
      <c r="G47" s="84">
        <f t="shared" si="50"/>
        <v>1</v>
      </c>
      <c r="H47" s="84">
        <f t="shared" si="50"/>
        <v>1</v>
      </c>
      <c r="I47" s="84">
        <f t="shared" si="50"/>
        <v>1</v>
      </c>
      <c r="J47" s="84">
        <f t="shared" si="50"/>
        <v>1</v>
      </c>
      <c r="K47" s="84">
        <f t="shared" si="50"/>
        <v>1</v>
      </c>
      <c r="L47" s="84">
        <f t="shared" si="50"/>
        <v>1</v>
      </c>
      <c r="M47" s="27">
        <f t="shared" si="50"/>
        <v>1</v>
      </c>
      <c r="N47" s="26">
        <f t="shared" si="50"/>
        <v>1</v>
      </c>
      <c r="O47" s="84">
        <f t="shared" si="50"/>
        <v>1</v>
      </c>
      <c r="P47" s="84">
        <f t="shared" si="50"/>
        <v>1</v>
      </c>
      <c r="Q47" s="84">
        <f t="shared" si="50"/>
        <v>1</v>
      </c>
      <c r="R47" s="84">
        <f t="shared" si="50"/>
        <v>1</v>
      </c>
      <c r="S47" s="84">
        <f t="shared" si="50"/>
        <v>1</v>
      </c>
      <c r="T47" s="84">
        <f t="shared" si="50"/>
        <v>1</v>
      </c>
      <c r="U47" s="84">
        <f t="shared" si="50"/>
        <v>1</v>
      </c>
      <c r="V47" s="27">
        <f t="shared" si="50"/>
        <v>1</v>
      </c>
      <c r="W47" s="21"/>
      <c r="X47" s="62">
        <f t="shared" si="51"/>
        <v>9</v>
      </c>
      <c r="Y47" s="62">
        <f t="shared" si="52"/>
        <v>9</v>
      </c>
      <c r="Z47" s="63">
        <f t="shared" si="53"/>
        <v>18</v>
      </c>
    </row>
    <row r="48">
      <c r="B48" s="64"/>
      <c r="C48" s="52"/>
      <c r="D48" s="5" t="str">
        <f t="shared" si="35"/>
        <v>DillonJuanScramble</v>
      </c>
      <c r="E48" s="84">
        <f t="shared" ref="E48:V48" si="54">IF(VLOOKUP($D48,$A$4:$B$57,2,FALSE)&gt;=E$13,1,0)</f>
        <v>0</v>
      </c>
      <c r="F48" s="84">
        <f t="shared" si="54"/>
        <v>0</v>
      </c>
      <c r="G48" s="84">
        <f t="shared" si="54"/>
        <v>1</v>
      </c>
      <c r="H48" s="84">
        <f t="shared" si="54"/>
        <v>1</v>
      </c>
      <c r="I48" s="84">
        <f t="shared" si="54"/>
        <v>1</v>
      </c>
      <c r="J48" s="84">
        <f t="shared" si="54"/>
        <v>1</v>
      </c>
      <c r="K48" s="84">
        <f t="shared" si="54"/>
        <v>0</v>
      </c>
      <c r="L48" s="84">
        <f t="shared" si="54"/>
        <v>1</v>
      </c>
      <c r="M48" s="27">
        <f t="shared" si="54"/>
        <v>1</v>
      </c>
      <c r="N48" s="26">
        <f t="shared" si="54"/>
        <v>1</v>
      </c>
      <c r="O48" s="84">
        <f t="shared" si="54"/>
        <v>0</v>
      </c>
      <c r="P48" s="84">
        <f t="shared" si="54"/>
        <v>1</v>
      </c>
      <c r="Q48" s="84">
        <f t="shared" si="54"/>
        <v>1</v>
      </c>
      <c r="R48" s="84">
        <f t="shared" si="54"/>
        <v>0</v>
      </c>
      <c r="S48" s="84">
        <f t="shared" si="54"/>
        <v>1</v>
      </c>
      <c r="T48" s="84">
        <f t="shared" si="54"/>
        <v>1</v>
      </c>
      <c r="U48" s="84">
        <f t="shared" si="54"/>
        <v>0</v>
      </c>
      <c r="V48" s="27">
        <f t="shared" si="54"/>
        <v>1</v>
      </c>
      <c r="W48" s="21"/>
      <c r="X48" s="62">
        <f t="shared" si="51"/>
        <v>6</v>
      </c>
      <c r="Y48" s="62">
        <f t="shared" si="52"/>
        <v>6</v>
      </c>
      <c r="Z48" s="63">
        <f t="shared" si="53"/>
        <v>12</v>
      </c>
    </row>
    <row r="49">
      <c r="A49" s="21"/>
      <c r="B49" s="64"/>
      <c r="C49" s="52"/>
      <c r="D49" s="5" t="str">
        <f t="shared" si="35"/>
        <v>DillonJuanAltShot</v>
      </c>
      <c r="E49" s="84">
        <f t="shared" ref="E49:V49" si="55">IF(VLOOKUP($D49,$A$4:$B$57,2,FALSE)&gt;=E$13,1,0)</f>
        <v>1</v>
      </c>
      <c r="F49" s="84">
        <f t="shared" si="55"/>
        <v>1</v>
      </c>
      <c r="G49" s="84">
        <f t="shared" si="55"/>
        <v>1</v>
      </c>
      <c r="H49" s="84">
        <f t="shared" si="55"/>
        <v>1</v>
      </c>
      <c r="I49" s="84">
        <f t="shared" si="55"/>
        <v>1</v>
      </c>
      <c r="J49" s="84">
        <f t="shared" si="55"/>
        <v>1</v>
      </c>
      <c r="K49" s="84">
        <f t="shared" si="55"/>
        <v>1</v>
      </c>
      <c r="L49" s="84">
        <f t="shared" si="55"/>
        <v>1</v>
      </c>
      <c r="M49" s="27">
        <f t="shared" si="55"/>
        <v>1</v>
      </c>
      <c r="N49" s="26">
        <f t="shared" si="55"/>
        <v>1</v>
      </c>
      <c r="O49" s="84">
        <f t="shared" si="55"/>
        <v>1</v>
      </c>
      <c r="P49" s="84">
        <f t="shared" si="55"/>
        <v>1</v>
      </c>
      <c r="Q49" s="84">
        <f t="shared" si="55"/>
        <v>1</v>
      </c>
      <c r="R49" s="84">
        <f t="shared" si="55"/>
        <v>1</v>
      </c>
      <c r="S49" s="84">
        <f t="shared" si="55"/>
        <v>1</v>
      </c>
      <c r="T49" s="84">
        <f t="shared" si="55"/>
        <v>1</v>
      </c>
      <c r="U49" s="84">
        <f t="shared" si="55"/>
        <v>1</v>
      </c>
      <c r="V49" s="27">
        <f t="shared" si="55"/>
        <v>1</v>
      </c>
      <c r="W49" s="21"/>
      <c r="X49" s="62">
        <f t="shared" si="51"/>
        <v>9</v>
      </c>
      <c r="Y49" s="62">
        <f t="shared" si="52"/>
        <v>9</v>
      </c>
      <c r="Z49" s="63">
        <f t="shared" si="53"/>
        <v>18</v>
      </c>
    </row>
    <row r="50">
      <c r="A50" s="21" t="str">
        <f>$M$3&amp;$M$5&amp;$N$10</f>
        <v>KyleJamesAltShot</v>
      </c>
      <c r="B50" s="64">
        <f>VLOOKUP($M$3, Information!$B$22:$G$37, 5, FALSE)+VLOOKUP($M$5, Information!$B$22:$G$37, 5, FALSE)</f>
        <v>18.48</v>
      </c>
      <c r="C50" s="58"/>
      <c r="D50" s="5" t="str">
        <f t="shared" si="35"/>
        <v/>
      </c>
      <c r="M50" s="27"/>
      <c r="N50" s="26"/>
      <c r="V50" s="27"/>
      <c r="W50" s="21"/>
      <c r="X50" s="62"/>
      <c r="Y50" s="62"/>
      <c r="Z50" s="63"/>
    </row>
    <row r="51">
      <c r="B51" s="64"/>
      <c r="C51" s="85" t="s">
        <v>57</v>
      </c>
      <c r="D51" s="5" t="str">
        <f t="shared" si="35"/>
        <v>DanJonScramble</v>
      </c>
      <c r="E51" s="84">
        <f t="shared" ref="E51:V51" si="56">IF(VLOOKUP($D51,$A$4:$B$57,2,FALSE)&gt;=E$13,1,0)</f>
        <v>0</v>
      </c>
      <c r="F51" s="84">
        <f t="shared" si="56"/>
        <v>0</v>
      </c>
      <c r="G51" s="84">
        <f t="shared" si="56"/>
        <v>1</v>
      </c>
      <c r="H51" s="84">
        <f t="shared" si="56"/>
        <v>1</v>
      </c>
      <c r="I51" s="84">
        <f t="shared" si="56"/>
        <v>1</v>
      </c>
      <c r="J51" s="84">
        <f t="shared" si="56"/>
        <v>1</v>
      </c>
      <c r="K51" s="84">
        <f t="shared" si="56"/>
        <v>0</v>
      </c>
      <c r="L51" s="84">
        <f t="shared" si="56"/>
        <v>1</v>
      </c>
      <c r="M51" s="27">
        <f t="shared" si="56"/>
        <v>1</v>
      </c>
      <c r="N51" s="26">
        <f t="shared" si="56"/>
        <v>1</v>
      </c>
      <c r="O51" s="84">
        <f t="shared" si="56"/>
        <v>0</v>
      </c>
      <c r="P51" s="84">
        <f t="shared" si="56"/>
        <v>1</v>
      </c>
      <c r="Q51" s="84">
        <f t="shared" si="56"/>
        <v>1</v>
      </c>
      <c r="R51" s="84">
        <f t="shared" si="56"/>
        <v>0</v>
      </c>
      <c r="S51" s="84">
        <f t="shared" si="56"/>
        <v>0</v>
      </c>
      <c r="T51" s="84">
        <f t="shared" si="56"/>
        <v>1</v>
      </c>
      <c r="U51" s="84">
        <f t="shared" si="56"/>
        <v>0</v>
      </c>
      <c r="V51" s="27">
        <f t="shared" si="56"/>
        <v>1</v>
      </c>
      <c r="W51" s="21"/>
      <c r="X51" s="62">
        <f t="shared" ref="X51:X54" si="58">SUM(E51:M51)</f>
        <v>6</v>
      </c>
      <c r="Y51" s="62">
        <f t="shared" ref="Y51:Y54" si="59">SUM(N51:V51)</f>
        <v>5</v>
      </c>
      <c r="Z51" s="63">
        <f t="shared" ref="Z51:Z54" si="60">sum(X51,Y51)</f>
        <v>11</v>
      </c>
    </row>
    <row r="52">
      <c r="A52" s="21" t="str">
        <f>$O$3&amp;$O$5&amp;$N$10</f>
        <v>DillonJuanAltShot</v>
      </c>
      <c r="B52" s="64">
        <f>VLOOKUP($O$3, Information!$B$22:$G$37, 5, FALSE)+VLOOKUP($O$5, Information!$B$22:$G$37, 5, FALSE)</f>
        <v>22.26</v>
      </c>
      <c r="C52" s="52"/>
      <c r="D52" s="5" t="str">
        <f t="shared" si="35"/>
        <v>DanJonAltShot</v>
      </c>
      <c r="E52" s="84">
        <f t="shared" ref="E52:V52" si="57">IF(VLOOKUP($D52,$A$4:$B$57,2,FALSE)&gt;=E$13,1,0)</f>
        <v>1</v>
      </c>
      <c r="F52" s="84">
        <f t="shared" si="57"/>
        <v>1</v>
      </c>
      <c r="G52" s="84">
        <f t="shared" si="57"/>
        <v>1</v>
      </c>
      <c r="H52" s="84">
        <f t="shared" si="57"/>
        <v>1</v>
      </c>
      <c r="I52" s="84">
        <f t="shared" si="57"/>
        <v>1</v>
      </c>
      <c r="J52" s="84">
        <f t="shared" si="57"/>
        <v>1</v>
      </c>
      <c r="K52" s="84">
        <f t="shared" si="57"/>
        <v>1</v>
      </c>
      <c r="L52" s="84">
        <f t="shared" si="57"/>
        <v>1</v>
      </c>
      <c r="M52" s="27">
        <f t="shared" si="57"/>
        <v>1</v>
      </c>
      <c r="N52" s="26">
        <f t="shared" si="57"/>
        <v>1</v>
      </c>
      <c r="O52" s="84">
        <f t="shared" si="57"/>
        <v>1</v>
      </c>
      <c r="P52" s="84">
        <f t="shared" si="57"/>
        <v>1</v>
      </c>
      <c r="Q52" s="84">
        <f t="shared" si="57"/>
        <v>1</v>
      </c>
      <c r="R52" s="84">
        <f t="shared" si="57"/>
        <v>1</v>
      </c>
      <c r="S52" s="84">
        <f t="shared" si="57"/>
        <v>1</v>
      </c>
      <c r="T52" s="84">
        <f t="shared" si="57"/>
        <v>1</v>
      </c>
      <c r="U52" s="84">
        <f t="shared" si="57"/>
        <v>1</v>
      </c>
      <c r="V52" s="27">
        <f t="shared" si="57"/>
        <v>1</v>
      </c>
      <c r="W52" s="21"/>
      <c r="X52" s="62">
        <f t="shared" si="58"/>
        <v>9</v>
      </c>
      <c r="Y52" s="62">
        <f t="shared" si="59"/>
        <v>9</v>
      </c>
      <c r="Z52" s="63">
        <f t="shared" si="60"/>
        <v>18</v>
      </c>
    </row>
    <row r="53">
      <c r="B53" s="64"/>
      <c r="C53" s="52"/>
      <c r="D53" s="5" t="str">
        <f t="shared" si="35"/>
        <v>JoePaCoreyScramble</v>
      </c>
      <c r="E53" s="84">
        <f t="shared" ref="E53:V53" si="61">IF(VLOOKUP($D53,$A$4:$B$57,2,FALSE)&gt;=E$13,1,0)</f>
        <v>0</v>
      </c>
      <c r="F53" s="84">
        <f t="shared" si="61"/>
        <v>0</v>
      </c>
      <c r="G53" s="84">
        <f t="shared" si="61"/>
        <v>1</v>
      </c>
      <c r="H53" s="84">
        <f t="shared" si="61"/>
        <v>1</v>
      </c>
      <c r="I53" s="84">
        <f t="shared" si="61"/>
        <v>1</v>
      </c>
      <c r="J53" s="84">
        <f t="shared" si="61"/>
        <v>0</v>
      </c>
      <c r="K53" s="84">
        <f t="shared" si="61"/>
        <v>0</v>
      </c>
      <c r="L53" s="84">
        <f t="shared" si="61"/>
        <v>0</v>
      </c>
      <c r="M53" s="27">
        <f t="shared" si="61"/>
        <v>1</v>
      </c>
      <c r="N53" s="26">
        <f t="shared" si="61"/>
        <v>1</v>
      </c>
      <c r="O53" s="84">
        <f t="shared" si="61"/>
        <v>0</v>
      </c>
      <c r="P53" s="84">
        <f t="shared" si="61"/>
        <v>1</v>
      </c>
      <c r="Q53" s="84">
        <f t="shared" si="61"/>
        <v>1</v>
      </c>
      <c r="R53" s="84">
        <f t="shared" si="61"/>
        <v>0</v>
      </c>
      <c r="S53" s="84">
        <f t="shared" si="61"/>
        <v>0</v>
      </c>
      <c r="T53" s="84">
        <f t="shared" si="61"/>
        <v>0</v>
      </c>
      <c r="U53" s="84">
        <f t="shared" si="61"/>
        <v>0</v>
      </c>
      <c r="V53" s="27">
        <f t="shared" si="61"/>
        <v>1</v>
      </c>
      <c r="W53" s="21"/>
      <c r="X53" s="62">
        <f t="shared" si="58"/>
        <v>4</v>
      </c>
      <c r="Y53" s="62">
        <f t="shared" si="59"/>
        <v>4</v>
      </c>
      <c r="Z53" s="63">
        <f t="shared" si="60"/>
        <v>8</v>
      </c>
    </row>
    <row r="54">
      <c r="A54" s="21"/>
      <c r="B54" s="64"/>
      <c r="C54" s="72"/>
      <c r="D54" s="73" t="str">
        <f t="shared" si="35"/>
        <v>JoePaCoreyAltShot</v>
      </c>
      <c r="E54" s="86">
        <f t="shared" ref="E54:V54" si="62">IF(VLOOKUP($D54,$A$4:$B$57,2,FALSE)&gt;=E$13,1,0)</f>
        <v>1</v>
      </c>
      <c r="F54" s="86">
        <f t="shared" si="62"/>
        <v>1</v>
      </c>
      <c r="G54" s="86">
        <f t="shared" si="62"/>
        <v>1</v>
      </c>
      <c r="H54" s="86">
        <f t="shared" si="62"/>
        <v>1</v>
      </c>
      <c r="I54" s="86">
        <f t="shared" si="62"/>
        <v>1</v>
      </c>
      <c r="J54" s="86">
        <f t="shared" si="62"/>
        <v>1</v>
      </c>
      <c r="K54" s="86">
        <f t="shared" si="62"/>
        <v>0</v>
      </c>
      <c r="L54" s="86">
        <f t="shared" si="62"/>
        <v>1</v>
      </c>
      <c r="M54" s="87">
        <f t="shared" si="62"/>
        <v>1</v>
      </c>
      <c r="N54" s="88">
        <f t="shared" si="62"/>
        <v>1</v>
      </c>
      <c r="O54" s="86">
        <f t="shared" si="62"/>
        <v>0</v>
      </c>
      <c r="P54" s="86">
        <f t="shared" si="62"/>
        <v>1</v>
      </c>
      <c r="Q54" s="86">
        <f t="shared" si="62"/>
        <v>1</v>
      </c>
      <c r="R54" s="86">
        <f t="shared" si="62"/>
        <v>0</v>
      </c>
      <c r="S54" s="86">
        <f t="shared" si="62"/>
        <v>1</v>
      </c>
      <c r="T54" s="86">
        <f t="shared" si="62"/>
        <v>1</v>
      </c>
      <c r="U54" s="86">
        <f t="shared" si="62"/>
        <v>1</v>
      </c>
      <c r="V54" s="87">
        <f t="shared" si="62"/>
        <v>1</v>
      </c>
      <c r="W54" s="21"/>
      <c r="X54" s="89">
        <f t="shared" si="58"/>
        <v>8</v>
      </c>
      <c r="Y54" s="89">
        <f t="shared" si="59"/>
        <v>7</v>
      </c>
      <c r="Z54" s="90">
        <f t="shared" si="60"/>
        <v>15</v>
      </c>
    </row>
    <row r="55">
      <c r="A55" s="21" t="str">
        <f>$Q$3&amp;$Q$5&amp;$N$10</f>
        <v>DanJonAltShot</v>
      </c>
      <c r="B55" s="64">
        <f>VLOOKUP($Q$3, Information!$B$22:$G$37, 5, FALSE)+VLOOKUP($Q$5, Information!$B$22:$G$37, 5, FALSE)</f>
        <v>20.79</v>
      </c>
      <c r="D55" s="5"/>
      <c r="M55" s="27"/>
      <c r="N55" s="26"/>
      <c r="V55" s="27"/>
      <c r="W55" s="21"/>
      <c r="X55" s="62"/>
      <c r="Y55" s="62"/>
      <c r="Z55" s="63"/>
      <c r="AA55" s="91" t="s">
        <v>58</v>
      </c>
      <c r="AB55" s="92" t="s">
        <v>59</v>
      </c>
      <c r="AC55" s="92" t="s">
        <v>60</v>
      </c>
      <c r="AD55" s="92" t="s">
        <v>61</v>
      </c>
      <c r="AE55" s="92" t="s">
        <v>62</v>
      </c>
      <c r="AF55" s="93" t="s">
        <v>63</v>
      </c>
    </row>
    <row r="56">
      <c r="B56" s="64"/>
      <c r="C56" s="79" t="s">
        <v>64</v>
      </c>
      <c r="D56" s="94" t="str">
        <f t="shared" ref="D56:D74" si="65">D36</f>
        <v>ColeToveyScramble</v>
      </c>
      <c r="E56" s="95">
        <f t="shared" ref="E56:M56" si="63">E16-E36</f>
        <v>5</v>
      </c>
      <c r="F56" s="95">
        <f t="shared" si="63"/>
        <v>4</v>
      </c>
      <c r="G56" s="95">
        <f t="shared" si="63"/>
        <v>6</v>
      </c>
      <c r="H56" s="95">
        <f t="shared" si="63"/>
        <v>8</v>
      </c>
      <c r="I56" s="95">
        <f t="shared" si="63"/>
        <v>5</v>
      </c>
      <c r="J56" s="95">
        <f t="shared" si="63"/>
        <v>2</v>
      </c>
      <c r="K56" s="95">
        <f t="shared" si="63"/>
        <v>6</v>
      </c>
      <c r="L56" s="95">
        <f t="shared" si="63"/>
        <v>7</v>
      </c>
      <c r="M56" s="96">
        <f t="shared" si="63"/>
        <v>4</v>
      </c>
      <c r="N56" s="97"/>
      <c r="O56" s="95"/>
      <c r="P56" s="95"/>
      <c r="Q56" s="95"/>
      <c r="R56" s="95"/>
      <c r="S56" s="95"/>
      <c r="T56" s="95"/>
      <c r="U56" s="95"/>
      <c r="V56" s="96"/>
      <c r="W56" s="21"/>
      <c r="X56" s="50">
        <f t="shared" ref="X56:X59" si="67">SUM(E56:M56)</f>
        <v>47</v>
      </c>
      <c r="Y56" s="50">
        <f t="shared" ref="Y56:Y59" si="68">SUM(N56:V56)</f>
        <v>0</v>
      </c>
      <c r="Z56" s="51">
        <f t="shared" ref="Z56:Z59" si="69">sum(X56,Y56)</f>
        <v>47</v>
      </c>
      <c r="AA56" s="61">
        <f>SUM(MIN(E56,E57),MIN(F56,F57),MIN(G56,G57),MIN(H56,H57),MIN(I56,I57),MIN(J56,J57),MIN(K56,K57),MIN(L56,L57),MIN(M56,M57))</f>
        <v>47</v>
      </c>
      <c r="AB56" s="59">
        <f>SUM(MIN(N56,N57),MIN(O56,O57),MIN(P56,P57),MIN(Q56,Q57),MIN(R56,R57),MIN(S56,S57),MIN(T56,T57),MIN(U56,U57),MIN(V56,V57))</f>
        <v>48</v>
      </c>
      <c r="AC56" s="7">
        <f t="shared" ref="AC56:AD56" si="64">IF(AA56&lt;AA58, 1, 0)</f>
        <v>0</v>
      </c>
      <c r="AD56" s="7">
        <f t="shared" si="64"/>
        <v>0</v>
      </c>
      <c r="AE56" s="84">
        <f>SUM(AC56,AD56)</f>
        <v>0</v>
      </c>
      <c r="AF56" s="98" t="s">
        <v>6</v>
      </c>
    </row>
    <row r="57">
      <c r="A57" s="21" t="str">
        <f>$S$3&amp;$S$5&amp;$N$10</f>
        <v>JoePaCoreyAltShot</v>
      </c>
      <c r="B57" s="64">
        <f>VLOOKUP($S$3, Information!$B$22:$G$37, 5, FALSE)+VLOOKUP($S$5, Information!$B$22:$G$37, 5, FALSE)</f>
        <v>15.61</v>
      </c>
      <c r="C57" s="52"/>
      <c r="D57" s="21" t="str">
        <f t="shared" si="65"/>
        <v>ColeToveyAltShot</v>
      </c>
      <c r="E57" s="59"/>
      <c r="F57" s="59"/>
      <c r="G57" s="59"/>
      <c r="H57" s="59"/>
      <c r="I57" s="59"/>
      <c r="J57" s="59"/>
      <c r="K57" s="59"/>
      <c r="L57" s="59"/>
      <c r="M57" s="60"/>
      <c r="N57" s="61">
        <f t="shared" ref="N57:V57" si="66">N17-N37</f>
        <v>6</v>
      </c>
      <c r="O57" s="59">
        <f t="shared" si="66"/>
        <v>5</v>
      </c>
      <c r="P57" s="59">
        <f t="shared" si="66"/>
        <v>6</v>
      </c>
      <c r="Q57" s="59">
        <f t="shared" si="66"/>
        <v>4</v>
      </c>
      <c r="R57" s="59">
        <f t="shared" si="66"/>
        <v>7</v>
      </c>
      <c r="S57" s="59">
        <f t="shared" si="66"/>
        <v>4</v>
      </c>
      <c r="T57" s="59">
        <f t="shared" si="66"/>
        <v>3</v>
      </c>
      <c r="U57" s="59">
        <f t="shared" si="66"/>
        <v>7</v>
      </c>
      <c r="V57" s="60">
        <f t="shared" si="66"/>
        <v>6</v>
      </c>
      <c r="W57" s="21"/>
      <c r="X57" s="56">
        <f t="shared" si="67"/>
        <v>0</v>
      </c>
      <c r="Y57" s="56">
        <f t="shared" si="68"/>
        <v>48</v>
      </c>
      <c r="Z57" s="57">
        <f t="shared" si="69"/>
        <v>48</v>
      </c>
      <c r="AA57" s="26"/>
      <c r="AF57" s="27"/>
    </row>
    <row r="58">
      <c r="A58" s="64"/>
      <c r="B58" s="64"/>
      <c r="C58" s="52"/>
      <c r="D58" s="21" t="str">
        <f t="shared" si="65"/>
        <v>ConnorAndyScramble</v>
      </c>
      <c r="E58" s="59">
        <f t="shared" ref="E58:M58" si="70">E18-E38</f>
        <v>4</v>
      </c>
      <c r="F58" s="59">
        <f t="shared" si="70"/>
        <v>6</v>
      </c>
      <c r="G58" s="59">
        <f t="shared" si="70"/>
        <v>3</v>
      </c>
      <c r="H58" s="59">
        <f t="shared" si="70"/>
        <v>6</v>
      </c>
      <c r="I58" s="59">
        <f t="shared" si="70"/>
        <v>5</v>
      </c>
      <c r="J58" s="59">
        <f t="shared" si="70"/>
        <v>4</v>
      </c>
      <c r="K58" s="59">
        <f t="shared" si="70"/>
        <v>3</v>
      </c>
      <c r="L58" s="59">
        <f t="shared" si="70"/>
        <v>8</v>
      </c>
      <c r="M58" s="60">
        <f t="shared" si="70"/>
        <v>1</v>
      </c>
      <c r="N58" s="61"/>
      <c r="O58" s="59"/>
      <c r="P58" s="59"/>
      <c r="Q58" s="59"/>
      <c r="R58" s="59"/>
      <c r="S58" s="59"/>
      <c r="T58" s="59"/>
      <c r="U58" s="59"/>
      <c r="V58" s="60"/>
      <c r="W58" s="21"/>
      <c r="X58" s="56">
        <f t="shared" si="67"/>
        <v>40</v>
      </c>
      <c r="Y58" s="56">
        <f t="shared" si="68"/>
        <v>0</v>
      </c>
      <c r="Z58" s="57">
        <f t="shared" si="69"/>
        <v>40</v>
      </c>
      <c r="AA58" s="61">
        <f>SUM(MIN(E58,E59),MIN(F58,F59),MIN(G58,G59),MIN(H58,H59),MIN(I58,I59),MIN(J58,J59),MIN(K58,K59),MIN(L58,L59),MIN(M58,M59))</f>
        <v>40</v>
      </c>
      <c r="AB58" s="59">
        <f>SUM(MIN(N58,N59),MIN(O58,O59),MIN(P58,P59),MIN(Q58,Q59),MIN(R58,R59),MIN(S58,S59),MIN(T58,T59),MIN(U58,U59),MIN(V58,V59))</f>
        <v>46</v>
      </c>
      <c r="AC58" s="7">
        <f t="shared" ref="AC58:AD58" si="71">IF(AA56&gt;AA58, 1, 0)</f>
        <v>1</v>
      </c>
      <c r="AD58" s="7">
        <f t="shared" si="71"/>
        <v>1</v>
      </c>
      <c r="AE58" s="84">
        <f>SUM(AC58,AD58)</f>
        <v>2</v>
      </c>
      <c r="AF58" s="98" t="s">
        <v>7</v>
      </c>
    </row>
    <row r="59">
      <c r="A59" s="64"/>
      <c r="B59" s="64"/>
      <c r="C59" s="52"/>
      <c r="D59" s="21" t="str">
        <f t="shared" si="65"/>
        <v>ConnorAndyAltShot</v>
      </c>
      <c r="E59" s="59"/>
      <c r="F59" s="59"/>
      <c r="G59" s="59"/>
      <c r="H59" s="59"/>
      <c r="I59" s="59"/>
      <c r="J59" s="59"/>
      <c r="K59" s="59"/>
      <c r="L59" s="59"/>
      <c r="M59" s="60"/>
      <c r="N59" s="61">
        <f t="shared" ref="N59:V59" si="72">N19-N39</f>
        <v>6</v>
      </c>
      <c r="O59" s="59">
        <f t="shared" si="72"/>
        <v>3</v>
      </c>
      <c r="P59" s="59">
        <f t="shared" si="72"/>
        <v>8</v>
      </c>
      <c r="Q59" s="59">
        <f t="shared" si="72"/>
        <v>8</v>
      </c>
      <c r="R59" s="59">
        <f t="shared" si="72"/>
        <v>4</v>
      </c>
      <c r="S59" s="59">
        <f t="shared" si="72"/>
        <v>8</v>
      </c>
      <c r="T59" s="59">
        <f t="shared" si="72"/>
        <v>4</v>
      </c>
      <c r="U59" s="59">
        <f t="shared" si="72"/>
        <v>4</v>
      </c>
      <c r="V59" s="60">
        <f t="shared" si="72"/>
        <v>1</v>
      </c>
      <c r="W59" s="21"/>
      <c r="X59" s="56">
        <f t="shared" si="67"/>
        <v>0</v>
      </c>
      <c r="Y59" s="56">
        <f t="shared" si="68"/>
        <v>46</v>
      </c>
      <c r="Z59" s="57">
        <f t="shared" si="69"/>
        <v>46</v>
      </c>
      <c r="AA59" s="26"/>
      <c r="AF59" s="27"/>
    </row>
    <row r="60">
      <c r="C60" s="58"/>
      <c r="D60" s="21" t="str">
        <f t="shared" si="65"/>
        <v/>
      </c>
      <c r="M60" s="27"/>
      <c r="N60" s="26"/>
      <c r="V60" s="27"/>
      <c r="W60" s="21"/>
      <c r="X60" s="62"/>
      <c r="Y60" s="62"/>
      <c r="Z60" s="63"/>
      <c r="AA60" s="26"/>
      <c r="AF60" s="27"/>
    </row>
    <row r="61">
      <c r="C61" s="85" t="s">
        <v>64</v>
      </c>
      <c r="D61" s="21" t="str">
        <f t="shared" si="65"/>
        <v>BrettMattScramble</v>
      </c>
      <c r="E61" s="59">
        <f t="shared" ref="E61:M61" si="73">E21-E41</f>
        <v>1</v>
      </c>
      <c r="F61" s="59">
        <f t="shared" si="73"/>
        <v>3</v>
      </c>
      <c r="G61" s="59">
        <f t="shared" si="73"/>
        <v>3</v>
      </c>
      <c r="H61" s="59">
        <f t="shared" si="73"/>
        <v>1</v>
      </c>
      <c r="I61" s="59">
        <f t="shared" si="73"/>
        <v>3</v>
      </c>
      <c r="J61" s="59">
        <f t="shared" si="73"/>
        <v>8</v>
      </c>
      <c r="K61" s="59">
        <f t="shared" si="73"/>
        <v>4</v>
      </c>
      <c r="L61" s="59">
        <f t="shared" si="73"/>
        <v>2</v>
      </c>
      <c r="M61" s="60">
        <f t="shared" si="73"/>
        <v>1</v>
      </c>
      <c r="N61" s="61"/>
      <c r="O61" s="59"/>
      <c r="P61" s="59"/>
      <c r="Q61" s="59"/>
      <c r="R61" s="59"/>
      <c r="S61" s="59"/>
      <c r="T61" s="59"/>
      <c r="U61" s="59"/>
      <c r="V61" s="60"/>
      <c r="W61" s="21"/>
      <c r="X61" s="56">
        <f t="shared" ref="X61:X64" si="76">SUM(E61:M61)</f>
        <v>26</v>
      </c>
      <c r="Y61" s="56">
        <f t="shared" ref="Y61:Y64" si="77">SUM(N61:V61)</f>
        <v>0</v>
      </c>
      <c r="Z61" s="57">
        <f t="shared" ref="Z61:Z64" si="78">sum(X61,Y61)</f>
        <v>26</v>
      </c>
      <c r="AA61" s="61">
        <f>SUM(MIN(E61,E62),MIN(F61,F62),MIN(G61,G62),MIN(H61,H62),MIN(I61,I62),MIN(J61,J62),MIN(K61,K62),MIN(L61,L62),MIN(M61,M62))</f>
        <v>26</v>
      </c>
      <c r="AB61" s="59">
        <f>SUM(MIN(N61,N62),MIN(O61,O62),MIN(P61,P62),MIN(Q61,Q62),MIN(R61,R62),MIN(S61,S62),MIN(T61,T62),MIN(U61,U62),MIN(V61,V62))</f>
        <v>40</v>
      </c>
      <c r="AC61" s="7">
        <f t="shared" ref="AC61:AD61" si="74">IF(AA61&lt;AA63, 1, 0)</f>
        <v>1</v>
      </c>
      <c r="AD61" s="7">
        <f t="shared" si="74"/>
        <v>0</v>
      </c>
      <c r="AE61" s="84">
        <f>SUM(AC61,AD61)</f>
        <v>1</v>
      </c>
      <c r="AF61" s="98" t="s">
        <v>6</v>
      </c>
    </row>
    <row r="62">
      <c r="C62" s="52"/>
      <c r="D62" s="21" t="str">
        <f t="shared" si="65"/>
        <v>BrettMattAltShot</v>
      </c>
      <c r="E62" s="59"/>
      <c r="F62" s="59"/>
      <c r="G62" s="59"/>
      <c r="H62" s="59"/>
      <c r="I62" s="59"/>
      <c r="J62" s="59"/>
      <c r="K62" s="59"/>
      <c r="L62" s="59"/>
      <c r="M62" s="60"/>
      <c r="N62" s="61">
        <f t="shared" ref="N62:V62" si="75">N22-N42</f>
        <v>1</v>
      </c>
      <c r="O62" s="59">
        <f t="shared" si="75"/>
        <v>8</v>
      </c>
      <c r="P62" s="59">
        <f t="shared" si="75"/>
        <v>1</v>
      </c>
      <c r="Q62" s="59">
        <f t="shared" si="75"/>
        <v>2</v>
      </c>
      <c r="R62" s="59">
        <f t="shared" si="75"/>
        <v>8</v>
      </c>
      <c r="S62" s="59">
        <f t="shared" si="75"/>
        <v>5</v>
      </c>
      <c r="T62" s="59">
        <f t="shared" si="75"/>
        <v>2</v>
      </c>
      <c r="U62" s="59">
        <f t="shared" si="75"/>
        <v>6</v>
      </c>
      <c r="V62" s="60">
        <f t="shared" si="75"/>
        <v>7</v>
      </c>
      <c r="W62" s="21"/>
      <c r="X62" s="56">
        <f t="shared" si="76"/>
        <v>0</v>
      </c>
      <c r="Y62" s="56">
        <f t="shared" si="77"/>
        <v>40</v>
      </c>
      <c r="Z62" s="57">
        <f t="shared" si="78"/>
        <v>40</v>
      </c>
      <c r="AA62" s="26"/>
      <c r="AF62" s="27"/>
    </row>
    <row r="63">
      <c r="C63" s="52"/>
      <c r="D63" s="21" t="str">
        <f t="shared" si="65"/>
        <v>BudVinceScramble</v>
      </c>
      <c r="E63" s="59">
        <f t="shared" ref="E63:M63" si="79">E23-E43</f>
        <v>5</v>
      </c>
      <c r="F63" s="59">
        <f t="shared" si="79"/>
        <v>5</v>
      </c>
      <c r="G63" s="59">
        <f t="shared" si="79"/>
        <v>8</v>
      </c>
      <c r="H63" s="59">
        <f t="shared" si="79"/>
        <v>4</v>
      </c>
      <c r="I63" s="59">
        <f t="shared" si="79"/>
        <v>3</v>
      </c>
      <c r="J63" s="59">
        <f t="shared" si="79"/>
        <v>2</v>
      </c>
      <c r="K63" s="59">
        <f t="shared" si="79"/>
        <v>3</v>
      </c>
      <c r="L63" s="59">
        <f t="shared" si="79"/>
        <v>7</v>
      </c>
      <c r="M63" s="60">
        <f t="shared" si="79"/>
        <v>7</v>
      </c>
      <c r="N63" s="61"/>
      <c r="O63" s="59"/>
      <c r="P63" s="59"/>
      <c r="Q63" s="59"/>
      <c r="R63" s="59"/>
      <c r="S63" s="59"/>
      <c r="T63" s="59"/>
      <c r="U63" s="59"/>
      <c r="V63" s="60"/>
      <c r="W63" s="21"/>
      <c r="X63" s="56">
        <f t="shared" si="76"/>
        <v>44</v>
      </c>
      <c r="Y63" s="56">
        <f t="shared" si="77"/>
        <v>0</v>
      </c>
      <c r="Z63" s="57">
        <f t="shared" si="78"/>
        <v>44</v>
      </c>
      <c r="AA63" s="61">
        <f>SUM(MIN(E63,E64),MIN(F63,F64),MIN(G63,G64),MIN(H63,H64),MIN(I63,I64),MIN(J63,J64),MIN(K63,K64),MIN(L63,L64),MIN(M63,M64))</f>
        <v>44</v>
      </c>
      <c r="AB63" s="59">
        <f>SUM(MIN(N63,N64),MIN(O63,O64),MIN(P63,P64),MIN(Q63,Q64),MIN(R63,R64),MIN(S63,S64),MIN(T63,T64),MIN(U63,U64),MIN(V63,V64))</f>
        <v>39</v>
      </c>
      <c r="AC63" s="7">
        <f t="shared" ref="AC63:AD63" si="80">IF(AA61&gt;AA63, 1, 0)</f>
        <v>0</v>
      </c>
      <c r="AD63" s="7">
        <f t="shared" si="80"/>
        <v>1</v>
      </c>
      <c r="AE63" s="84">
        <f>SUM(AC63,AD63)</f>
        <v>1</v>
      </c>
      <c r="AF63" s="98" t="s">
        <v>7</v>
      </c>
    </row>
    <row r="64">
      <c r="C64" s="52"/>
      <c r="D64" s="21" t="str">
        <f t="shared" si="65"/>
        <v>BudVinceAltShot</v>
      </c>
      <c r="E64" s="59"/>
      <c r="F64" s="59"/>
      <c r="G64" s="59"/>
      <c r="H64" s="59"/>
      <c r="I64" s="59"/>
      <c r="J64" s="59"/>
      <c r="K64" s="59"/>
      <c r="L64" s="59"/>
      <c r="M64" s="60"/>
      <c r="N64" s="61">
        <f t="shared" ref="N64:V64" si="81">N24-N44</f>
        <v>5</v>
      </c>
      <c r="O64" s="59">
        <f t="shared" si="81"/>
        <v>4</v>
      </c>
      <c r="P64" s="59">
        <f t="shared" si="81"/>
        <v>5</v>
      </c>
      <c r="Q64" s="59">
        <f t="shared" si="81"/>
        <v>1</v>
      </c>
      <c r="R64" s="59">
        <f t="shared" si="81"/>
        <v>6</v>
      </c>
      <c r="S64" s="59">
        <f t="shared" si="81"/>
        <v>6</v>
      </c>
      <c r="T64" s="59">
        <f t="shared" si="81"/>
        <v>2</v>
      </c>
      <c r="U64" s="59">
        <f t="shared" si="81"/>
        <v>8</v>
      </c>
      <c r="V64" s="60">
        <f t="shared" si="81"/>
        <v>2</v>
      </c>
      <c r="W64" s="21"/>
      <c r="X64" s="56">
        <f t="shared" si="76"/>
        <v>0</v>
      </c>
      <c r="Y64" s="56">
        <f t="shared" si="77"/>
        <v>39</v>
      </c>
      <c r="Z64" s="57">
        <f t="shared" si="78"/>
        <v>39</v>
      </c>
      <c r="AA64" s="26"/>
      <c r="AF64" s="27"/>
    </row>
    <row r="65">
      <c r="C65" s="58"/>
      <c r="D65" s="21" t="str">
        <f t="shared" si="65"/>
        <v/>
      </c>
      <c r="M65" s="27"/>
      <c r="N65" s="26"/>
      <c r="V65" s="27"/>
      <c r="W65" s="21"/>
      <c r="X65" s="62"/>
      <c r="Y65" s="62"/>
      <c r="Z65" s="63"/>
      <c r="AA65" s="26"/>
      <c r="AF65" s="27"/>
    </row>
    <row r="66">
      <c r="C66" s="85" t="s">
        <v>64</v>
      </c>
      <c r="D66" s="21" t="str">
        <f t="shared" si="65"/>
        <v>KyleJamesScramble</v>
      </c>
      <c r="E66" s="59">
        <f t="shared" ref="E66:M66" si="82">E26-E46</f>
        <v>5</v>
      </c>
      <c r="F66" s="59">
        <f t="shared" si="82"/>
        <v>9</v>
      </c>
      <c r="G66" s="59">
        <f t="shared" si="82"/>
        <v>6</v>
      </c>
      <c r="H66" s="59">
        <f t="shared" si="82"/>
        <v>7</v>
      </c>
      <c r="I66" s="59">
        <f t="shared" si="82"/>
        <v>8</v>
      </c>
      <c r="J66" s="59">
        <f t="shared" si="82"/>
        <v>8</v>
      </c>
      <c r="K66" s="59">
        <f t="shared" si="82"/>
        <v>2</v>
      </c>
      <c r="L66" s="59">
        <f t="shared" si="82"/>
        <v>4</v>
      </c>
      <c r="M66" s="60">
        <f t="shared" si="82"/>
        <v>4</v>
      </c>
      <c r="N66" s="61"/>
      <c r="O66" s="59"/>
      <c r="P66" s="59"/>
      <c r="Q66" s="59"/>
      <c r="R66" s="59"/>
      <c r="S66" s="59"/>
      <c r="T66" s="59"/>
      <c r="U66" s="59"/>
      <c r="V66" s="60"/>
      <c r="W66" s="21"/>
      <c r="X66" s="56">
        <f t="shared" ref="X66:X69" si="85">SUM(E66:M66)</f>
        <v>53</v>
      </c>
      <c r="Y66" s="56">
        <f t="shared" ref="Y66:Y69" si="86">SUM(N66:V66)</f>
        <v>0</v>
      </c>
      <c r="Z66" s="57">
        <f t="shared" ref="Z66:Z69" si="87">sum(X66,Y66)</f>
        <v>53</v>
      </c>
      <c r="AA66" s="68">
        <f>SUM(MIN(E66,E67),MIN(F66,F67),MIN(G66,G67),MIN(H66,H67),MIN(I66,I67),MIN(J66,J67),MIN(K66,K67),MIN(L66,L67),MIN(M66,M67))</f>
        <v>53</v>
      </c>
      <c r="AB66" s="66">
        <f>SUM(MIN(N66,N67),MIN(O66,O67),MIN(P66,P67),MIN(Q66,Q67),MIN(R66,R67),MIN(S66,S67),MIN(T66,T67),MIN(U66,U67),MIN(V66,V67))</f>
        <v>55</v>
      </c>
      <c r="AC66" s="99">
        <f t="shared" ref="AC66:AD66" si="83">IF(AA66&lt;AA68, 1, 0)</f>
        <v>0</v>
      </c>
      <c r="AD66" s="99">
        <f t="shared" si="83"/>
        <v>0</v>
      </c>
      <c r="AE66" s="84">
        <f>SUM(AC66,AD66)</f>
        <v>0</v>
      </c>
      <c r="AF66" s="98" t="s">
        <v>6</v>
      </c>
    </row>
    <row r="67">
      <c r="C67" s="52"/>
      <c r="D67" s="21" t="str">
        <f t="shared" si="65"/>
        <v>KyleJamesAltShot</v>
      </c>
      <c r="E67" s="59"/>
      <c r="F67" s="59"/>
      <c r="G67" s="59"/>
      <c r="H67" s="59"/>
      <c r="I67" s="59"/>
      <c r="J67" s="59"/>
      <c r="K67" s="59"/>
      <c r="L67" s="59"/>
      <c r="M67" s="60"/>
      <c r="N67" s="61">
        <f t="shared" ref="N67:V67" si="84">N27-N47</f>
        <v>8</v>
      </c>
      <c r="O67" s="59">
        <f t="shared" si="84"/>
        <v>7</v>
      </c>
      <c r="P67" s="59">
        <f t="shared" si="84"/>
        <v>8</v>
      </c>
      <c r="Q67" s="59">
        <f t="shared" si="84"/>
        <v>2</v>
      </c>
      <c r="R67" s="59">
        <f t="shared" si="84"/>
        <v>4</v>
      </c>
      <c r="S67" s="59">
        <f t="shared" si="84"/>
        <v>7</v>
      </c>
      <c r="T67" s="59">
        <f t="shared" si="84"/>
        <v>5</v>
      </c>
      <c r="U67" s="59">
        <f t="shared" si="84"/>
        <v>6</v>
      </c>
      <c r="V67" s="60">
        <f t="shared" si="84"/>
        <v>8</v>
      </c>
      <c r="W67" s="21"/>
      <c r="X67" s="56">
        <f t="shared" si="85"/>
        <v>0</v>
      </c>
      <c r="Y67" s="56">
        <f t="shared" si="86"/>
        <v>55</v>
      </c>
      <c r="Z67" s="57">
        <f t="shared" si="87"/>
        <v>55</v>
      </c>
      <c r="AA67" s="100"/>
      <c r="AB67" s="101"/>
      <c r="AC67" s="101"/>
      <c r="AD67" s="101"/>
      <c r="AF67" s="27"/>
    </row>
    <row r="68">
      <c r="C68" s="52"/>
      <c r="D68" s="21" t="str">
        <f t="shared" si="65"/>
        <v>DillonJuanScramble</v>
      </c>
      <c r="E68" s="59">
        <f t="shared" ref="E68:M68" si="88">E28-E48</f>
        <v>5</v>
      </c>
      <c r="F68" s="59">
        <f t="shared" si="88"/>
        <v>2</v>
      </c>
      <c r="G68" s="59">
        <f t="shared" si="88"/>
        <v>3</v>
      </c>
      <c r="H68" s="59">
        <f t="shared" si="88"/>
        <v>5</v>
      </c>
      <c r="I68" s="59">
        <f t="shared" si="88"/>
        <v>8</v>
      </c>
      <c r="J68" s="59">
        <f t="shared" si="88"/>
        <v>6</v>
      </c>
      <c r="K68" s="59">
        <f t="shared" si="88"/>
        <v>8</v>
      </c>
      <c r="L68" s="59">
        <f t="shared" si="88"/>
        <v>2</v>
      </c>
      <c r="M68" s="60">
        <f t="shared" si="88"/>
        <v>3</v>
      </c>
      <c r="N68" s="61"/>
      <c r="O68" s="59"/>
      <c r="P68" s="59"/>
      <c r="Q68" s="59"/>
      <c r="R68" s="59"/>
      <c r="S68" s="59"/>
      <c r="T68" s="59"/>
      <c r="U68" s="59"/>
      <c r="V68" s="60"/>
      <c r="W68" s="21"/>
      <c r="X68" s="56">
        <f t="shared" si="85"/>
        <v>42</v>
      </c>
      <c r="Y68" s="56">
        <f t="shared" si="86"/>
        <v>0</v>
      </c>
      <c r="Z68" s="57">
        <f t="shared" si="87"/>
        <v>42</v>
      </c>
      <c r="AA68" s="68">
        <f>SUM(MIN(E68,E69),MIN(F68,F69),MIN(G68,G69),MIN(H68,H69),MIN(I68,I69),MIN(J68,J69),MIN(K68,K69),MIN(L68,L69),MIN(M68,M69))</f>
        <v>42</v>
      </c>
      <c r="AB68" s="66">
        <f>SUM(MIN(N68,N69),MIN(O68,O69),MIN(P68,P69),MIN(Q68,Q69),MIN(R68,R69),MIN(S68,S69),MIN(T68,T69),MIN(U68,U69),MIN(V68,V69))</f>
        <v>48</v>
      </c>
      <c r="AC68" s="99">
        <f t="shared" ref="AC68:AD68" si="89">IF(AA66&gt;AA68, 1, 0)</f>
        <v>1</v>
      </c>
      <c r="AD68" s="99">
        <f t="shared" si="89"/>
        <v>1</v>
      </c>
      <c r="AE68" s="84">
        <f>SUM(AC68,AD68)</f>
        <v>2</v>
      </c>
      <c r="AF68" s="98" t="s">
        <v>7</v>
      </c>
    </row>
    <row r="69">
      <c r="C69" s="52"/>
      <c r="D69" s="21" t="str">
        <f t="shared" si="65"/>
        <v>DillonJuanAltShot</v>
      </c>
      <c r="E69" s="59"/>
      <c r="F69" s="59"/>
      <c r="G69" s="59"/>
      <c r="H69" s="59"/>
      <c r="I69" s="59"/>
      <c r="J69" s="59"/>
      <c r="K69" s="59"/>
      <c r="L69" s="59"/>
      <c r="M69" s="60"/>
      <c r="N69" s="61">
        <f t="shared" ref="N69:V69" si="90">N29-N49</f>
        <v>6</v>
      </c>
      <c r="O69" s="59">
        <f t="shared" si="90"/>
        <v>7</v>
      </c>
      <c r="P69" s="59">
        <f t="shared" si="90"/>
        <v>1</v>
      </c>
      <c r="Q69" s="59">
        <f t="shared" si="90"/>
        <v>7</v>
      </c>
      <c r="R69" s="59">
        <f t="shared" si="90"/>
        <v>3</v>
      </c>
      <c r="S69" s="59">
        <f t="shared" si="90"/>
        <v>4</v>
      </c>
      <c r="T69" s="59">
        <f t="shared" si="90"/>
        <v>8</v>
      </c>
      <c r="U69" s="59">
        <f t="shared" si="90"/>
        <v>6</v>
      </c>
      <c r="V69" s="60">
        <f t="shared" si="90"/>
        <v>6</v>
      </c>
      <c r="W69" s="21"/>
      <c r="X69" s="56">
        <f t="shared" si="85"/>
        <v>0</v>
      </c>
      <c r="Y69" s="56">
        <f t="shared" si="86"/>
        <v>48</v>
      </c>
      <c r="Z69" s="57">
        <f t="shared" si="87"/>
        <v>48</v>
      </c>
      <c r="AA69" s="100"/>
      <c r="AB69" s="101"/>
      <c r="AF69" s="27"/>
    </row>
    <row r="70">
      <c r="C70" s="58"/>
      <c r="D70" s="21" t="str">
        <f t="shared" si="65"/>
        <v/>
      </c>
      <c r="M70" s="27"/>
      <c r="N70" s="26"/>
      <c r="V70" s="27"/>
      <c r="W70" s="21"/>
      <c r="X70" s="62"/>
      <c r="Y70" s="62"/>
      <c r="Z70" s="63"/>
      <c r="AA70" s="26"/>
      <c r="AF70" s="27"/>
    </row>
    <row r="71">
      <c r="C71" s="85" t="s">
        <v>64</v>
      </c>
      <c r="D71" s="21" t="str">
        <f t="shared" si="65"/>
        <v>DanJonScramble</v>
      </c>
      <c r="E71" s="59">
        <f t="shared" ref="E71:M71" si="91">E31-E51</f>
        <v>8</v>
      </c>
      <c r="F71" s="59">
        <f t="shared" si="91"/>
        <v>9</v>
      </c>
      <c r="G71" s="59">
        <f t="shared" si="91"/>
        <v>7</v>
      </c>
      <c r="H71" s="59">
        <f t="shared" si="91"/>
        <v>3</v>
      </c>
      <c r="I71" s="59">
        <f t="shared" si="91"/>
        <v>5</v>
      </c>
      <c r="J71" s="59">
        <f t="shared" si="91"/>
        <v>2</v>
      </c>
      <c r="K71" s="59">
        <f t="shared" si="91"/>
        <v>7</v>
      </c>
      <c r="L71" s="59">
        <f t="shared" si="91"/>
        <v>7</v>
      </c>
      <c r="M71" s="60">
        <f t="shared" si="91"/>
        <v>3</v>
      </c>
      <c r="N71" s="61"/>
      <c r="O71" s="59"/>
      <c r="P71" s="59"/>
      <c r="Q71" s="59"/>
      <c r="R71" s="59"/>
      <c r="S71" s="59"/>
      <c r="T71" s="59"/>
      <c r="U71" s="59"/>
      <c r="V71" s="60"/>
      <c r="W71" s="21"/>
      <c r="X71" s="56">
        <f t="shared" ref="X71:X74" si="94">SUM(E71:M71)</f>
        <v>51</v>
      </c>
      <c r="Y71" s="56">
        <f t="shared" ref="Y71:Y74" si="95">SUM(N71:V71)</f>
        <v>0</v>
      </c>
      <c r="Z71" s="57">
        <f t="shared" ref="Z71:Z74" si="96">sum(X71,Y71)</f>
        <v>51</v>
      </c>
      <c r="AA71" s="68">
        <f>SUM(MIN(E71,E72),MIN(F71,F72),MIN(G71,G72),MIN(H71,H72),MIN(I71,I72),MIN(J71,J72),MIN(K71,K72),MIN(L71,L72),MIN(M71,M72))</f>
        <v>51</v>
      </c>
      <c r="AB71" s="66">
        <f>SUM(MIN(N71,N72),MIN(O71,O72),MIN(P71,P72),MIN(Q71,Q72),MIN(R71,R72),MIN(S71,S72),MIN(T71,T72),MIN(U71,U72),MIN(V71,V72))</f>
        <v>46</v>
      </c>
      <c r="AC71" s="99">
        <f t="shared" ref="AC71:AD71" si="92">IF(AA71&lt;AA73, 1, 0)</f>
        <v>1</v>
      </c>
      <c r="AD71" s="99">
        <f t="shared" si="92"/>
        <v>0</v>
      </c>
      <c r="AE71" s="84">
        <f>SUM(AC71,AD71)</f>
        <v>1</v>
      </c>
      <c r="AF71" s="98" t="s">
        <v>6</v>
      </c>
    </row>
    <row r="72">
      <c r="C72" s="52"/>
      <c r="D72" s="21" t="str">
        <f t="shared" si="65"/>
        <v>DanJonAltShot</v>
      </c>
      <c r="E72" s="59"/>
      <c r="F72" s="59"/>
      <c r="G72" s="59"/>
      <c r="H72" s="59"/>
      <c r="I72" s="59"/>
      <c r="J72" s="59"/>
      <c r="K72" s="59"/>
      <c r="L72" s="59"/>
      <c r="M72" s="60"/>
      <c r="N72" s="61">
        <f t="shared" ref="N72:V72" si="93">N32-N52</f>
        <v>5</v>
      </c>
      <c r="O72" s="59">
        <f t="shared" si="93"/>
        <v>2</v>
      </c>
      <c r="P72" s="59">
        <f t="shared" si="93"/>
        <v>8</v>
      </c>
      <c r="Q72" s="59">
        <f t="shared" si="93"/>
        <v>5</v>
      </c>
      <c r="R72" s="59">
        <f t="shared" si="93"/>
        <v>3</v>
      </c>
      <c r="S72" s="59">
        <f t="shared" si="93"/>
        <v>7</v>
      </c>
      <c r="T72" s="59">
        <f t="shared" si="93"/>
        <v>8</v>
      </c>
      <c r="U72" s="59">
        <f t="shared" si="93"/>
        <v>3</v>
      </c>
      <c r="V72" s="60">
        <f t="shared" si="93"/>
        <v>5</v>
      </c>
      <c r="W72" s="21"/>
      <c r="X72" s="56">
        <f t="shared" si="94"/>
        <v>0</v>
      </c>
      <c r="Y72" s="56">
        <f t="shared" si="95"/>
        <v>46</v>
      </c>
      <c r="Z72" s="57">
        <f t="shared" si="96"/>
        <v>46</v>
      </c>
      <c r="AA72" s="100"/>
      <c r="AB72" s="101"/>
      <c r="AC72" s="101"/>
      <c r="AD72" s="101"/>
      <c r="AF72" s="27"/>
    </row>
    <row r="73">
      <c r="C73" s="52"/>
      <c r="D73" s="21" t="str">
        <f t="shared" si="65"/>
        <v>JoePaCoreyScramble</v>
      </c>
      <c r="E73" s="59">
        <f t="shared" ref="E73:M73" si="97">E33-E53</f>
        <v>3</v>
      </c>
      <c r="F73" s="59">
        <f t="shared" si="97"/>
        <v>8</v>
      </c>
      <c r="G73" s="59">
        <f t="shared" si="97"/>
        <v>2</v>
      </c>
      <c r="H73" s="59">
        <f t="shared" si="97"/>
        <v>7</v>
      </c>
      <c r="I73" s="59">
        <f t="shared" si="97"/>
        <v>7</v>
      </c>
      <c r="J73" s="59">
        <f t="shared" si="97"/>
        <v>7</v>
      </c>
      <c r="K73" s="59">
        <f t="shared" si="97"/>
        <v>4</v>
      </c>
      <c r="L73" s="59">
        <f t="shared" si="97"/>
        <v>9</v>
      </c>
      <c r="M73" s="60">
        <f t="shared" si="97"/>
        <v>5</v>
      </c>
      <c r="N73" s="61"/>
      <c r="O73" s="59"/>
      <c r="P73" s="59"/>
      <c r="Q73" s="59"/>
      <c r="R73" s="59"/>
      <c r="S73" s="59"/>
      <c r="T73" s="59"/>
      <c r="U73" s="59"/>
      <c r="V73" s="60"/>
      <c r="W73" s="21"/>
      <c r="X73" s="56">
        <f t="shared" si="94"/>
        <v>52</v>
      </c>
      <c r="Y73" s="56">
        <f t="shared" si="95"/>
        <v>0</v>
      </c>
      <c r="Z73" s="57">
        <f t="shared" si="96"/>
        <v>52</v>
      </c>
      <c r="AA73" s="102">
        <f>SUM(MIN(E73,E74),MIN(F73,F74),MIN(G73,G74),MIN(H73,H74),MIN(I73,I74),MIN(J73,J74),MIN(K73,K74),MIN(L73,L74),MIN(M73,M74))</f>
        <v>52</v>
      </c>
      <c r="AB73" s="103">
        <f>SUM(MIN(N73,N74),MIN(O73,O74),MIN(P73,P74),MIN(Q73,Q74),MIN(R73,R74),MIN(S73,S74),MIN(T73,T74),MIN(U73,U74),MIN(V73,V74))</f>
        <v>34</v>
      </c>
      <c r="AC73" s="104">
        <f t="shared" ref="AC73:AD73" si="98">IF(AA71&gt;AA73, 1, 0)</f>
        <v>0</v>
      </c>
      <c r="AD73" s="104">
        <f t="shared" si="98"/>
        <v>1</v>
      </c>
      <c r="AE73" s="86">
        <f>SUM(AC73,AD73)</f>
        <v>1</v>
      </c>
      <c r="AF73" s="105" t="s">
        <v>7</v>
      </c>
    </row>
    <row r="74">
      <c r="C74" s="72"/>
      <c r="D74" s="31" t="str">
        <f t="shared" si="65"/>
        <v>JoePaCoreyAltShot</v>
      </c>
      <c r="E74" s="106"/>
      <c r="F74" s="106"/>
      <c r="G74" s="106"/>
      <c r="H74" s="106"/>
      <c r="I74" s="106"/>
      <c r="J74" s="106"/>
      <c r="K74" s="106"/>
      <c r="L74" s="106"/>
      <c r="M74" s="107"/>
      <c r="N74" s="108">
        <f t="shared" ref="N74:V74" si="99">N34-N54</f>
        <v>5</v>
      </c>
      <c r="O74" s="106">
        <f t="shared" si="99"/>
        <v>2</v>
      </c>
      <c r="P74" s="106">
        <f t="shared" si="99"/>
        <v>7</v>
      </c>
      <c r="Q74" s="106">
        <f t="shared" si="99"/>
        <v>6</v>
      </c>
      <c r="R74" s="106">
        <f t="shared" si="99"/>
        <v>3</v>
      </c>
      <c r="S74" s="106">
        <f t="shared" si="99"/>
        <v>2</v>
      </c>
      <c r="T74" s="106">
        <f t="shared" si="99"/>
        <v>1</v>
      </c>
      <c r="U74" s="106">
        <f t="shared" si="99"/>
        <v>1</v>
      </c>
      <c r="V74" s="107">
        <f t="shared" si="99"/>
        <v>7</v>
      </c>
      <c r="W74" s="21"/>
      <c r="X74" s="77">
        <f t="shared" si="94"/>
        <v>0</v>
      </c>
      <c r="Y74" s="77">
        <f t="shared" si="95"/>
        <v>34</v>
      </c>
      <c r="Z74" s="78">
        <f t="shared" si="96"/>
        <v>34</v>
      </c>
      <c r="AA74" s="101"/>
      <c r="AB74" s="101"/>
    </row>
    <row r="75">
      <c r="M75" s="27"/>
      <c r="N75" s="26"/>
    </row>
    <row r="76">
      <c r="C76" s="109" t="s">
        <v>65</v>
      </c>
      <c r="D76" s="110" t="s">
        <v>66</v>
      </c>
      <c r="E76" s="95">
        <f t="shared" ref="E76:V76" si="100">MIN(E56,E57)</f>
        <v>5</v>
      </c>
      <c r="F76" s="95">
        <f t="shared" si="100"/>
        <v>4</v>
      </c>
      <c r="G76" s="95">
        <f t="shared" si="100"/>
        <v>6</v>
      </c>
      <c r="H76" s="95">
        <f t="shared" si="100"/>
        <v>8</v>
      </c>
      <c r="I76" s="95">
        <f t="shared" si="100"/>
        <v>5</v>
      </c>
      <c r="J76" s="95">
        <f t="shared" si="100"/>
        <v>2</v>
      </c>
      <c r="K76" s="95">
        <f t="shared" si="100"/>
        <v>6</v>
      </c>
      <c r="L76" s="95">
        <f t="shared" si="100"/>
        <v>7</v>
      </c>
      <c r="M76" s="96">
        <f t="shared" si="100"/>
        <v>4</v>
      </c>
      <c r="N76" s="97">
        <f t="shared" si="100"/>
        <v>6</v>
      </c>
      <c r="O76" s="95">
        <f t="shared" si="100"/>
        <v>5</v>
      </c>
      <c r="P76" s="95">
        <f t="shared" si="100"/>
        <v>6</v>
      </c>
      <c r="Q76" s="95">
        <f t="shared" si="100"/>
        <v>4</v>
      </c>
      <c r="R76" s="95">
        <f t="shared" si="100"/>
        <v>7</v>
      </c>
      <c r="S76" s="95">
        <f t="shared" si="100"/>
        <v>4</v>
      </c>
      <c r="T76" s="95">
        <f t="shared" si="100"/>
        <v>3</v>
      </c>
      <c r="U76" s="95">
        <f t="shared" si="100"/>
        <v>7</v>
      </c>
      <c r="V76" s="95">
        <f t="shared" si="100"/>
        <v>6</v>
      </c>
      <c r="W76" s="21"/>
      <c r="X76" s="81"/>
      <c r="Y76" s="92" t="s">
        <v>42</v>
      </c>
      <c r="Z76" s="93" t="s">
        <v>43</v>
      </c>
    </row>
    <row r="77">
      <c r="C77" s="26"/>
      <c r="D77" s="7" t="s">
        <v>68</v>
      </c>
      <c r="E77" s="59">
        <f t="shared" ref="E77:V77" si="101">MIN(E58,E59)</f>
        <v>4</v>
      </c>
      <c r="F77" s="59">
        <f t="shared" si="101"/>
        <v>6</v>
      </c>
      <c r="G77" s="59">
        <f t="shared" si="101"/>
        <v>3</v>
      </c>
      <c r="H77" s="59">
        <f t="shared" si="101"/>
        <v>6</v>
      </c>
      <c r="I77" s="59">
        <f t="shared" si="101"/>
        <v>5</v>
      </c>
      <c r="J77" s="59">
        <f t="shared" si="101"/>
        <v>4</v>
      </c>
      <c r="K77" s="59">
        <f t="shared" si="101"/>
        <v>3</v>
      </c>
      <c r="L77" s="59">
        <f t="shared" si="101"/>
        <v>8</v>
      </c>
      <c r="M77" s="60">
        <f t="shared" si="101"/>
        <v>1</v>
      </c>
      <c r="N77" s="61">
        <f t="shared" si="101"/>
        <v>6</v>
      </c>
      <c r="O77" s="59">
        <f t="shared" si="101"/>
        <v>3</v>
      </c>
      <c r="P77" s="59">
        <f t="shared" si="101"/>
        <v>8</v>
      </c>
      <c r="Q77" s="59">
        <f t="shared" si="101"/>
        <v>8</v>
      </c>
      <c r="R77" s="59">
        <f t="shared" si="101"/>
        <v>4</v>
      </c>
      <c r="S77" s="59">
        <f t="shared" si="101"/>
        <v>8</v>
      </c>
      <c r="T77" s="59">
        <f t="shared" si="101"/>
        <v>4</v>
      </c>
      <c r="U77" s="59">
        <f t="shared" si="101"/>
        <v>4</v>
      </c>
      <c r="V77" s="59">
        <f t="shared" si="101"/>
        <v>1</v>
      </c>
      <c r="X77" s="111" t="s">
        <v>67</v>
      </c>
      <c r="Y77" s="84">
        <f>COUNTIF(E78:M78, "Spartan Dawgs")</f>
        <v>3</v>
      </c>
      <c r="Z77" s="27">
        <f>COUNTIF(N78:V78, "Invited Guests")</f>
        <v>4</v>
      </c>
    </row>
    <row r="78">
      <c r="C78" s="26"/>
      <c r="D78" s="7" t="s">
        <v>70</v>
      </c>
      <c r="E78" s="84" t="str">
        <f t="shared" ref="E78:V78" si="102">IF(E76&lt;E77, "Spartan Dawgs", IF(E76&gt;E77, "Invited Guests", "No Blood"))</f>
        <v>Invited Guests</v>
      </c>
      <c r="F78" s="84" t="str">
        <f t="shared" si="102"/>
        <v>Spartan Dawgs</v>
      </c>
      <c r="G78" s="84" t="str">
        <f t="shared" si="102"/>
        <v>Invited Guests</v>
      </c>
      <c r="H78" s="84" t="str">
        <f t="shared" si="102"/>
        <v>Invited Guests</v>
      </c>
      <c r="I78" s="84" t="str">
        <f t="shared" si="102"/>
        <v>No Blood</v>
      </c>
      <c r="J78" s="84" t="str">
        <f t="shared" si="102"/>
        <v>Spartan Dawgs</v>
      </c>
      <c r="K78" s="84" t="str">
        <f t="shared" si="102"/>
        <v>Invited Guests</v>
      </c>
      <c r="L78" s="84" t="str">
        <f t="shared" si="102"/>
        <v>Spartan Dawgs</v>
      </c>
      <c r="M78" s="27" t="str">
        <f t="shared" si="102"/>
        <v>Invited Guests</v>
      </c>
      <c r="N78" s="26" t="str">
        <f t="shared" si="102"/>
        <v>No Blood</v>
      </c>
      <c r="O78" s="84" t="str">
        <f t="shared" si="102"/>
        <v>Invited Guests</v>
      </c>
      <c r="P78" s="84" t="str">
        <f t="shared" si="102"/>
        <v>Spartan Dawgs</v>
      </c>
      <c r="Q78" s="84" t="str">
        <f t="shared" si="102"/>
        <v>Spartan Dawgs</v>
      </c>
      <c r="R78" s="84" t="str">
        <f t="shared" si="102"/>
        <v>Invited Guests</v>
      </c>
      <c r="S78" s="84" t="str">
        <f t="shared" si="102"/>
        <v>Spartan Dawgs</v>
      </c>
      <c r="T78" s="84" t="str">
        <f t="shared" si="102"/>
        <v>Spartan Dawgs</v>
      </c>
      <c r="U78" s="84" t="str">
        <f t="shared" si="102"/>
        <v>Invited Guests</v>
      </c>
      <c r="V78" s="84" t="str">
        <f t="shared" si="102"/>
        <v>Invited Guests</v>
      </c>
      <c r="X78" s="111" t="s">
        <v>69</v>
      </c>
      <c r="Y78" s="84">
        <f>COUNTIF(E78:M78, "Invited Guests")</f>
        <v>5</v>
      </c>
      <c r="Z78" s="27">
        <f>COUNTIF(N78:V78, "Invited Guests")</f>
        <v>4</v>
      </c>
    </row>
    <row r="79">
      <c r="C79" s="88"/>
      <c r="D79" s="86"/>
      <c r="E79" s="86"/>
      <c r="F79" s="86"/>
      <c r="G79" s="86"/>
      <c r="H79" s="86"/>
      <c r="I79" s="86"/>
      <c r="J79" s="86"/>
      <c r="K79" s="86"/>
      <c r="L79" s="86"/>
      <c r="M79" s="87"/>
      <c r="N79" s="88"/>
      <c r="O79" s="86"/>
      <c r="P79" s="86"/>
      <c r="Q79" s="86"/>
      <c r="R79" s="86"/>
      <c r="S79" s="86"/>
      <c r="T79" s="86"/>
      <c r="U79" s="86"/>
      <c r="V79" s="86"/>
      <c r="X79" s="113" t="s">
        <v>74</v>
      </c>
      <c r="Y79" s="86">
        <f>IF(Y77&gt;Z77, 1, IF(Y77&lt;Z77, 0, 0.5))</f>
        <v>0</v>
      </c>
      <c r="Z79" s="87">
        <f>IF(Z77&gt;Y77, 1, IF(Z77&lt;Y77, 0, 0.5))</f>
        <v>1</v>
      </c>
    </row>
    <row r="80">
      <c r="M80" s="27"/>
      <c r="N80" s="26"/>
    </row>
    <row r="81">
      <c r="C81" s="109" t="s">
        <v>73</v>
      </c>
      <c r="D81" s="110" t="s">
        <v>66</v>
      </c>
      <c r="E81" s="95">
        <f t="shared" ref="E81:V81" si="103">MIN(E61,E62)</f>
        <v>1</v>
      </c>
      <c r="F81" s="95">
        <f t="shared" si="103"/>
        <v>3</v>
      </c>
      <c r="G81" s="95">
        <f t="shared" si="103"/>
        <v>3</v>
      </c>
      <c r="H81" s="95">
        <f t="shared" si="103"/>
        <v>1</v>
      </c>
      <c r="I81" s="95">
        <f t="shared" si="103"/>
        <v>3</v>
      </c>
      <c r="J81" s="95">
        <f t="shared" si="103"/>
        <v>8</v>
      </c>
      <c r="K81" s="95">
        <f t="shared" si="103"/>
        <v>4</v>
      </c>
      <c r="L81" s="95">
        <f t="shared" si="103"/>
        <v>2</v>
      </c>
      <c r="M81" s="96">
        <f t="shared" si="103"/>
        <v>1</v>
      </c>
      <c r="N81" s="97">
        <f t="shared" si="103"/>
        <v>1</v>
      </c>
      <c r="O81" s="95">
        <f t="shared" si="103"/>
        <v>8</v>
      </c>
      <c r="P81" s="95">
        <f t="shared" si="103"/>
        <v>1</v>
      </c>
      <c r="Q81" s="95">
        <f t="shared" si="103"/>
        <v>2</v>
      </c>
      <c r="R81" s="95">
        <f t="shared" si="103"/>
        <v>8</v>
      </c>
      <c r="S81" s="95">
        <f t="shared" si="103"/>
        <v>5</v>
      </c>
      <c r="T81" s="95">
        <f t="shared" si="103"/>
        <v>2</v>
      </c>
      <c r="U81" s="95">
        <f t="shared" si="103"/>
        <v>6</v>
      </c>
      <c r="V81" s="95">
        <f t="shared" si="103"/>
        <v>7</v>
      </c>
      <c r="W81" s="21"/>
      <c r="X81" s="81"/>
      <c r="Y81" s="92" t="s">
        <v>42</v>
      </c>
      <c r="Z81" s="93" t="s">
        <v>43</v>
      </c>
    </row>
    <row r="82">
      <c r="C82" s="26"/>
      <c r="D82" s="7" t="s">
        <v>68</v>
      </c>
      <c r="E82" s="59">
        <f t="shared" ref="E82:V82" si="104">MIN(E63,E64)</f>
        <v>5</v>
      </c>
      <c r="F82" s="59">
        <f t="shared" si="104"/>
        <v>5</v>
      </c>
      <c r="G82" s="59">
        <f t="shared" si="104"/>
        <v>8</v>
      </c>
      <c r="H82" s="59">
        <f t="shared" si="104"/>
        <v>4</v>
      </c>
      <c r="I82" s="59">
        <f t="shared" si="104"/>
        <v>3</v>
      </c>
      <c r="J82" s="59">
        <f t="shared" si="104"/>
        <v>2</v>
      </c>
      <c r="K82" s="59">
        <f t="shared" si="104"/>
        <v>3</v>
      </c>
      <c r="L82" s="59">
        <f t="shared" si="104"/>
        <v>7</v>
      </c>
      <c r="M82" s="60">
        <f t="shared" si="104"/>
        <v>7</v>
      </c>
      <c r="N82" s="61">
        <f t="shared" si="104"/>
        <v>5</v>
      </c>
      <c r="O82" s="59">
        <f t="shared" si="104"/>
        <v>4</v>
      </c>
      <c r="P82" s="59">
        <f t="shared" si="104"/>
        <v>5</v>
      </c>
      <c r="Q82" s="59">
        <f t="shared" si="104"/>
        <v>1</v>
      </c>
      <c r="R82" s="59">
        <f t="shared" si="104"/>
        <v>6</v>
      </c>
      <c r="S82" s="59">
        <f t="shared" si="104"/>
        <v>6</v>
      </c>
      <c r="T82" s="59">
        <f t="shared" si="104"/>
        <v>2</v>
      </c>
      <c r="U82" s="59">
        <f t="shared" si="104"/>
        <v>8</v>
      </c>
      <c r="V82" s="59">
        <f t="shared" si="104"/>
        <v>2</v>
      </c>
      <c r="X82" s="111" t="s">
        <v>67</v>
      </c>
      <c r="Y82" s="84">
        <f>COUNTIF(E83:M83, "Spartan Dawgs")</f>
        <v>6</v>
      </c>
      <c r="Z82" s="27">
        <f>COUNTIF(N83:V83, "Invited Guests")</f>
        <v>4</v>
      </c>
    </row>
    <row r="83">
      <c r="C83" s="26"/>
      <c r="D83" s="7" t="s">
        <v>70</v>
      </c>
      <c r="E83" s="84" t="str">
        <f t="shared" ref="E83:V83" si="105">IF(E81&lt;E82, "Spartan Dawgs", IF(E81&gt;E82, "Invited Guests", "No Blood"))</f>
        <v>Spartan Dawgs</v>
      </c>
      <c r="F83" s="84" t="str">
        <f t="shared" si="105"/>
        <v>Spartan Dawgs</v>
      </c>
      <c r="G83" s="84" t="str">
        <f t="shared" si="105"/>
        <v>Spartan Dawgs</v>
      </c>
      <c r="H83" s="84" t="str">
        <f t="shared" si="105"/>
        <v>Spartan Dawgs</v>
      </c>
      <c r="I83" s="84" t="str">
        <f t="shared" si="105"/>
        <v>No Blood</v>
      </c>
      <c r="J83" s="84" t="str">
        <f t="shared" si="105"/>
        <v>Invited Guests</v>
      </c>
      <c r="K83" s="84" t="str">
        <f t="shared" si="105"/>
        <v>Invited Guests</v>
      </c>
      <c r="L83" s="84" t="str">
        <f t="shared" si="105"/>
        <v>Spartan Dawgs</v>
      </c>
      <c r="M83" s="27" t="str">
        <f t="shared" si="105"/>
        <v>Spartan Dawgs</v>
      </c>
      <c r="N83" s="26" t="str">
        <f t="shared" si="105"/>
        <v>Spartan Dawgs</v>
      </c>
      <c r="O83" s="84" t="str">
        <f t="shared" si="105"/>
        <v>Invited Guests</v>
      </c>
      <c r="P83" s="84" t="str">
        <f t="shared" si="105"/>
        <v>Spartan Dawgs</v>
      </c>
      <c r="Q83" s="84" t="str">
        <f t="shared" si="105"/>
        <v>Invited Guests</v>
      </c>
      <c r="R83" s="84" t="str">
        <f t="shared" si="105"/>
        <v>Invited Guests</v>
      </c>
      <c r="S83" s="84" t="str">
        <f t="shared" si="105"/>
        <v>Spartan Dawgs</v>
      </c>
      <c r="T83" s="84" t="str">
        <f t="shared" si="105"/>
        <v>No Blood</v>
      </c>
      <c r="U83" s="84" t="str">
        <f t="shared" si="105"/>
        <v>Spartan Dawgs</v>
      </c>
      <c r="V83" s="84" t="str">
        <f t="shared" si="105"/>
        <v>Invited Guests</v>
      </c>
      <c r="X83" s="111" t="s">
        <v>69</v>
      </c>
      <c r="Y83" s="84">
        <f>COUNTIF(E83:M83, "Invited Guests")</f>
        <v>2</v>
      </c>
      <c r="Z83" s="27">
        <f>COUNTIF(N83:V83, "Invited Guests")</f>
        <v>4</v>
      </c>
    </row>
    <row r="84">
      <c r="C84" s="88"/>
      <c r="D84" s="86"/>
      <c r="E84" s="86"/>
      <c r="F84" s="86"/>
      <c r="G84" s="86"/>
      <c r="H84" s="86"/>
      <c r="I84" s="86"/>
      <c r="J84" s="86"/>
      <c r="K84" s="86"/>
      <c r="L84" s="86"/>
      <c r="M84" s="87"/>
      <c r="N84" s="88"/>
      <c r="O84" s="86"/>
      <c r="P84" s="86"/>
      <c r="Q84" s="86"/>
      <c r="R84" s="86"/>
      <c r="S84" s="86"/>
      <c r="T84" s="86"/>
      <c r="U84" s="86"/>
      <c r="V84" s="86"/>
      <c r="X84" s="113" t="s">
        <v>74</v>
      </c>
      <c r="Y84" s="86">
        <f>IF(Y82&gt;Z82, 1, IF(Y82&lt;Z82, 0, 0.5))</f>
        <v>1</v>
      </c>
      <c r="Z84" s="87">
        <f>IF(Z82&gt;Y82, 1, IF(Z82&lt;Y82, 0, 0.5))</f>
        <v>0</v>
      </c>
    </row>
    <row r="85">
      <c r="M85" s="27"/>
      <c r="N85" s="26"/>
    </row>
    <row r="86">
      <c r="C86" s="109" t="s">
        <v>75</v>
      </c>
      <c r="D86" s="110" t="s">
        <v>66</v>
      </c>
      <c r="E86" s="95">
        <f t="shared" ref="E86:V86" si="106">MIN(E66,E67)</f>
        <v>5</v>
      </c>
      <c r="F86" s="95">
        <f t="shared" si="106"/>
        <v>9</v>
      </c>
      <c r="G86" s="95">
        <f t="shared" si="106"/>
        <v>6</v>
      </c>
      <c r="H86" s="95">
        <f t="shared" si="106"/>
        <v>7</v>
      </c>
      <c r="I86" s="95">
        <f t="shared" si="106"/>
        <v>8</v>
      </c>
      <c r="J86" s="95">
        <f t="shared" si="106"/>
        <v>8</v>
      </c>
      <c r="K86" s="95">
        <f t="shared" si="106"/>
        <v>2</v>
      </c>
      <c r="L86" s="95">
        <f t="shared" si="106"/>
        <v>4</v>
      </c>
      <c r="M86" s="96">
        <f t="shared" si="106"/>
        <v>4</v>
      </c>
      <c r="N86" s="97">
        <f t="shared" si="106"/>
        <v>8</v>
      </c>
      <c r="O86" s="95">
        <f t="shared" si="106"/>
        <v>7</v>
      </c>
      <c r="P86" s="95">
        <f t="shared" si="106"/>
        <v>8</v>
      </c>
      <c r="Q86" s="95">
        <f t="shared" si="106"/>
        <v>2</v>
      </c>
      <c r="R86" s="95">
        <f t="shared" si="106"/>
        <v>4</v>
      </c>
      <c r="S86" s="95">
        <f t="shared" si="106"/>
        <v>7</v>
      </c>
      <c r="T86" s="95">
        <f t="shared" si="106"/>
        <v>5</v>
      </c>
      <c r="U86" s="95">
        <f t="shared" si="106"/>
        <v>6</v>
      </c>
      <c r="V86" s="96">
        <f t="shared" si="106"/>
        <v>8</v>
      </c>
      <c r="W86" s="21"/>
      <c r="X86" s="81"/>
      <c r="Y86" s="92" t="s">
        <v>42</v>
      </c>
      <c r="Z86" s="93" t="s">
        <v>43</v>
      </c>
    </row>
    <row r="87">
      <c r="C87" s="26"/>
      <c r="D87" s="7" t="s">
        <v>68</v>
      </c>
      <c r="E87" s="59">
        <f t="shared" ref="E87:V87" si="107">MIN(E68,E69)</f>
        <v>5</v>
      </c>
      <c r="F87" s="59">
        <f t="shared" si="107"/>
        <v>2</v>
      </c>
      <c r="G87" s="59">
        <f t="shared" si="107"/>
        <v>3</v>
      </c>
      <c r="H87" s="59">
        <f t="shared" si="107"/>
        <v>5</v>
      </c>
      <c r="I87" s="59">
        <f t="shared" si="107"/>
        <v>8</v>
      </c>
      <c r="J87" s="59">
        <f t="shared" si="107"/>
        <v>6</v>
      </c>
      <c r="K87" s="59">
        <f t="shared" si="107"/>
        <v>8</v>
      </c>
      <c r="L87" s="59">
        <f t="shared" si="107"/>
        <v>2</v>
      </c>
      <c r="M87" s="60">
        <f t="shared" si="107"/>
        <v>3</v>
      </c>
      <c r="N87" s="61">
        <f t="shared" si="107"/>
        <v>6</v>
      </c>
      <c r="O87" s="59">
        <f t="shared" si="107"/>
        <v>7</v>
      </c>
      <c r="P87" s="59">
        <f t="shared" si="107"/>
        <v>1</v>
      </c>
      <c r="Q87" s="59">
        <f t="shared" si="107"/>
        <v>7</v>
      </c>
      <c r="R87" s="59">
        <f t="shared" si="107"/>
        <v>3</v>
      </c>
      <c r="S87" s="59">
        <f t="shared" si="107"/>
        <v>4</v>
      </c>
      <c r="T87" s="59">
        <f t="shared" si="107"/>
        <v>8</v>
      </c>
      <c r="U87" s="59">
        <f t="shared" si="107"/>
        <v>6</v>
      </c>
      <c r="V87" s="60">
        <f t="shared" si="107"/>
        <v>6</v>
      </c>
      <c r="X87" s="111" t="s">
        <v>67</v>
      </c>
      <c r="Y87" s="84">
        <f>COUNTIF(E88:M88, "Spartan Dawgs")</f>
        <v>1</v>
      </c>
      <c r="Z87" s="27">
        <f>COUNTIF(N88:V88, "Invited Guests")</f>
        <v>5</v>
      </c>
    </row>
    <row r="88">
      <c r="C88" s="26"/>
      <c r="D88" s="7" t="s">
        <v>70</v>
      </c>
      <c r="E88" s="84" t="str">
        <f t="shared" ref="E88:V88" si="108">IF(E86&lt;E87, "Spartan Dawgs", IF(E86&gt;E87, "Invited Guests", "No Blood"))</f>
        <v>No Blood</v>
      </c>
      <c r="F88" s="84" t="str">
        <f t="shared" si="108"/>
        <v>Invited Guests</v>
      </c>
      <c r="G88" s="84" t="str">
        <f t="shared" si="108"/>
        <v>Invited Guests</v>
      </c>
      <c r="H88" s="84" t="str">
        <f t="shared" si="108"/>
        <v>Invited Guests</v>
      </c>
      <c r="I88" s="84" t="str">
        <f t="shared" si="108"/>
        <v>No Blood</v>
      </c>
      <c r="J88" s="84" t="str">
        <f t="shared" si="108"/>
        <v>Invited Guests</v>
      </c>
      <c r="K88" s="84" t="str">
        <f t="shared" si="108"/>
        <v>Spartan Dawgs</v>
      </c>
      <c r="L88" s="84" t="str">
        <f t="shared" si="108"/>
        <v>Invited Guests</v>
      </c>
      <c r="M88" s="27" t="str">
        <f t="shared" si="108"/>
        <v>Invited Guests</v>
      </c>
      <c r="N88" s="26" t="str">
        <f t="shared" si="108"/>
        <v>Invited Guests</v>
      </c>
      <c r="O88" s="84" t="str">
        <f t="shared" si="108"/>
        <v>No Blood</v>
      </c>
      <c r="P88" s="84" t="str">
        <f t="shared" si="108"/>
        <v>Invited Guests</v>
      </c>
      <c r="Q88" s="84" t="str">
        <f t="shared" si="108"/>
        <v>Spartan Dawgs</v>
      </c>
      <c r="R88" s="84" t="str">
        <f t="shared" si="108"/>
        <v>Invited Guests</v>
      </c>
      <c r="S88" s="84" t="str">
        <f t="shared" si="108"/>
        <v>Invited Guests</v>
      </c>
      <c r="T88" s="84" t="str">
        <f t="shared" si="108"/>
        <v>Spartan Dawgs</v>
      </c>
      <c r="U88" s="84" t="str">
        <f t="shared" si="108"/>
        <v>No Blood</v>
      </c>
      <c r="V88" s="27" t="str">
        <f t="shared" si="108"/>
        <v>Invited Guests</v>
      </c>
      <c r="X88" s="111" t="s">
        <v>69</v>
      </c>
      <c r="Y88" s="84">
        <f>COUNTIF(E88:M88, "Invited Guests")</f>
        <v>6</v>
      </c>
      <c r="Z88" s="27">
        <f>COUNTIF(N88:V88, "Invited Guests")</f>
        <v>5</v>
      </c>
    </row>
    <row r="89">
      <c r="C89" s="88"/>
      <c r="D89" s="86"/>
      <c r="E89" s="86"/>
      <c r="F89" s="86"/>
      <c r="G89" s="86"/>
      <c r="H89" s="86"/>
      <c r="I89" s="86"/>
      <c r="J89" s="86"/>
      <c r="K89" s="86"/>
      <c r="L89" s="86"/>
      <c r="M89" s="87"/>
      <c r="N89" s="88"/>
      <c r="O89" s="86"/>
      <c r="P89" s="86"/>
      <c r="Q89" s="86"/>
      <c r="R89" s="86"/>
      <c r="S89" s="86"/>
      <c r="T89" s="86"/>
      <c r="U89" s="86"/>
      <c r="V89" s="87"/>
      <c r="X89" s="113" t="s">
        <v>74</v>
      </c>
      <c r="Y89" s="86">
        <f>IF(Y87&gt;Z87, 1, IF(Y87&lt;Z87, 0, 0.5))</f>
        <v>0</v>
      </c>
      <c r="Z89" s="87">
        <f>IF(Z87&gt;Y87, 1, IF(Z87&lt;Y87, 0, 0.5))</f>
        <v>1</v>
      </c>
    </row>
    <row r="90">
      <c r="M90" s="27"/>
      <c r="N90" s="26"/>
    </row>
    <row r="91">
      <c r="C91" s="109" t="s">
        <v>77</v>
      </c>
      <c r="D91" s="110" t="s">
        <v>66</v>
      </c>
      <c r="E91" s="95">
        <f t="shared" ref="E91:V91" si="109">MIN(E71,E72)</f>
        <v>8</v>
      </c>
      <c r="F91" s="95">
        <f t="shared" si="109"/>
        <v>9</v>
      </c>
      <c r="G91" s="95">
        <f t="shared" si="109"/>
        <v>7</v>
      </c>
      <c r="H91" s="95">
        <f t="shared" si="109"/>
        <v>3</v>
      </c>
      <c r="I91" s="95">
        <f t="shared" si="109"/>
        <v>5</v>
      </c>
      <c r="J91" s="95">
        <f t="shared" si="109"/>
        <v>2</v>
      </c>
      <c r="K91" s="95">
        <f t="shared" si="109"/>
        <v>7</v>
      </c>
      <c r="L91" s="95">
        <f t="shared" si="109"/>
        <v>7</v>
      </c>
      <c r="M91" s="96">
        <f t="shared" si="109"/>
        <v>3</v>
      </c>
      <c r="N91" s="97">
        <f t="shared" si="109"/>
        <v>5</v>
      </c>
      <c r="O91" s="95">
        <f t="shared" si="109"/>
        <v>2</v>
      </c>
      <c r="P91" s="95">
        <f t="shared" si="109"/>
        <v>8</v>
      </c>
      <c r="Q91" s="95">
        <f t="shared" si="109"/>
        <v>5</v>
      </c>
      <c r="R91" s="95">
        <f t="shared" si="109"/>
        <v>3</v>
      </c>
      <c r="S91" s="95">
        <f t="shared" si="109"/>
        <v>7</v>
      </c>
      <c r="T91" s="95">
        <f t="shared" si="109"/>
        <v>8</v>
      </c>
      <c r="U91" s="95">
        <f t="shared" si="109"/>
        <v>3</v>
      </c>
      <c r="V91" s="96">
        <f t="shared" si="109"/>
        <v>5</v>
      </c>
      <c r="W91" s="21"/>
      <c r="X91" s="81"/>
      <c r="Y91" s="92" t="s">
        <v>42</v>
      </c>
      <c r="Z91" s="93" t="s">
        <v>43</v>
      </c>
    </row>
    <row r="92">
      <c r="C92" s="26"/>
      <c r="D92" s="7" t="s">
        <v>68</v>
      </c>
      <c r="E92" s="59">
        <f t="shared" ref="E92:V92" si="110">MIN(E73,E74)</f>
        <v>3</v>
      </c>
      <c r="F92" s="59">
        <f t="shared" si="110"/>
        <v>8</v>
      </c>
      <c r="G92" s="59">
        <f t="shared" si="110"/>
        <v>2</v>
      </c>
      <c r="H92" s="59">
        <f t="shared" si="110"/>
        <v>7</v>
      </c>
      <c r="I92" s="59">
        <f t="shared" si="110"/>
        <v>7</v>
      </c>
      <c r="J92" s="59">
        <f t="shared" si="110"/>
        <v>7</v>
      </c>
      <c r="K92" s="59">
        <f t="shared" si="110"/>
        <v>4</v>
      </c>
      <c r="L92" s="59">
        <f t="shared" si="110"/>
        <v>9</v>
      </c>
      <c r="M92" s="60">
        <f t="shared" si="110"/>
        <v>5</v>
      </c>
      <c r="N92" s="61">
        <f t="shared" si="110"/>
        <v>5</v>
      </c>
      <c r="O92" s="59">
        <f t="shared" si="110"/>
        <v>2</v>
      </c>
      <c r="P92" s="59">
        <f t="shared" si="110"/>
        <v>7</v>
      </c>
      <c r="Q92" s="59">
        <f t="shared" si="110"/>
        <v>6</v>
      </c>
      <c r="R92" s="59">
        <f t="shared" si="110"/>
        <v>3</v>
      </c>
      <c r="S92" s="59">
        <f t="shared" si="110"/>
        <v>2</v>
      </c>
      <c r="T92" s="59">
        <f t="shared" si="110"/>
        <v>1</v>
      </c>
      <c r="U92" s="59">
        <f t="shared" si="110"/>
        <v>1</v>
      </c>
      <c r="V92" s="60">
        <f t="shared" si="110"/>
        <v>7</v>
      </c>
      <c r="X92" s="111" t="s">
        <v>67</v>
      </c>
      <c r="Y92" s="84">
        <f>COUNTIF(E93:M93, "Spartan Dawgs")</f>
        <v>5</v>
      </c>
      <c r="Z92" s="27">
        <f>COUNTIF(N93:V93, "Invited Guests")</f>
        <v>4</v>
      </c>
    </row>
    <row r="93">
      <c r="C93" s="26"/>
      <c r="D93" s="7" t="s">
        <v>70</v>
      </c>
      <c r="E93" s="84" t="str">
        <f t="shared" ref="E93:V93" si="111">IF(E91&lt;E92, "Spartan Dawgs", IF(E91&gt;E92, "Invited Guests", "No Blood"))</f>
        <v>Invited Guests</v>
      </c>
      <c r="F93" s="84" t="str">
        <f t="shared" si="111"/>
        <v>Invited Guests</v>
      </c>
      <c r="G93" s="84" t="str">
        <f t="shared" si="111"/>
        <v>Invited Guests</v>
      </c>
      <c r="H93" s="84" t="str">
        <f t="shared" si="111"/>
        <v>Spartan Dawgs</v>
      </c>
      <c r="I93" s="84" t="str">
        <f t="shared" si="111"/>
        <v>Spartan Dawgs</v>
      </c>
      <c r="J93" s="84" t="str">
        <f t="shared" si="111"/>
        <v>Spartan Dawgs</v>
      </c>
      <c r="K93" s="84" t="str">
        <f t="shared" si="111"/>
        <v>Invited Guests</v>
      </c>
      <c r="L93" s="84" t="str">
        <f t="shared" si="111"/>
        <v>Spartan Dawgs</v>
      </c>
      <c r="M93" s="27" t="str">
        <f t="shared" si="111"/>
        <v>Spartan Dawgs</v>
      </c>
      <c r="N93" s="26" t="str">
        <f t="shared" si="111"/>
        <v>No Blood</v>
      </c>
      <c r="O93" s="84" t="str">
        <f t="shared" si="111"/>
        <v>No Blood</v>
      </c>
      <c r="P93" s="84" t="str">
        <f t="shared" si="111"/>
        <v>Invited Guests</v>
      </c>
      <c r="Q93" s="84" t="str">
        <f t="shared" si="111"/>
        <v>Spartan Dawgs</v>
      </c>
      <c r="R93" s="84" t="str">
        <f t="shared" si="111"/>
        <v>No Blood</v>
      </c>
      <c r="S93" s="84" t="str">
        <f t="shared" si="111"/>
        <v>Invited Guests</v>
      </c>
      <c r="T93" s="84" t="str">
        <f t="shared" si="111"/>
        <v>Invited Guests</v>
      </c>
      <c r="U93" s="84" t="str">
        <f t="shared" si="111"/>
        <v>Invited Guests</v>
      </c>
      <c r="V93" s="27" t="str">
        <f t="shared" si="111"/>
        <v>Spartan Dawgs</v>
      </c>
      <c r="X93" s="111" t="s">
        <v>69</v>
      </c>
      <c r="Y93" s="84">
        <f>COUNTIF(E93:M93, "Invited Guests")</f>
        <v>4</v>
      </c>
      <c r="Z93" s="27">
        <f>COUNTIF(N93:V93, "Invited Guests")</f>
        <v>4</v>
      </c>
    </row>
    <row r="94">
      <c r="C94" s="88"/>
      <c r="D94" s="86"/>
      <c r="E94" s="86"/>
      <c r="F94" s="86"/>
      <c r="G94" s="86"/>
      <c r="H94" s="86"/>
      <c r="I94" s="86"/>
      <c r="J94" s="86"/>
      <c r="K94" s="86"/>
      <c r="L94" s="86"/>
      <c r="M94" s="87"/>
      <c r="N94" s="88"/>
      <c r="O94" s="86"/>
      <c r="P94" s="86"/>
      <c r="Q94" s="86"/>
      <c r="R94" s="86"/>
      <c r="S94" s="86"/>
      <c r="T94" s="86"/>
      <c r="U94" s="86"/>
      <c r="V94" s="87"/>
      <c r="X94" s="113" t="s">
        <v>74</v>
      </c>
      <c r="Y94" s="86">
        <f>IF(Y92&gt;Z92, 1, IF(Y92&lt;Z92, 0, 0.5))</f>
        <v>1</v>
      </c>
      <c r="Z94" s="87">
        <f>IF(Z92&gt;Y92, 1, IF(Z92&lt;Y92, 0, 0.5))</f>
        <v>0</v>
      </c>
    </row>
  </sheetData>
  <mergeCells count="18">
    <mergeCell ref="E2:G2"/>
    <mergeCell ref="I2:K2"/>
    <mergeCell ref="M2:O2"/>
    <mergeCell ref="Q2:S2"/>
    <mergeCell ref="E10:M10"/>
    <mergeCell ref="N10:V10"/>
    <mergeCell ref="C16:C19"/>
    <mergeCell ref="C56:C59"/>
    <mergeCell ref="C61:C64"/>
    <mergeCell ref="C66:C69"/>
    <mergeCell ref="C71:C74"/>
    <mergeCell ref="C21:C24"/>
    <mergeCell ref="C26:C29"/>
    <mergeCell ref="C31:C34"/>
    <mergeCell ref="C36:C39"/>
    <mergeCell ref="C41:C44"/>
    <mergeCell ref="C46:C49"/>
    <mergeCell ref="C51:C54"/>
  </mergeCells>
  <drawing r:id="rId1"/>
</worksheet>
</file>